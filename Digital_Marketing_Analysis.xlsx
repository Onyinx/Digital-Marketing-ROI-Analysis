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Downloads\Digital marketing\DI\"/>
    </mc:Choice>
  </mc:AlternateContent>
  <xr:revisionPtr revIDLastSave="0" documentId="8_{367630C6-ACE7-4C29-82FA-1FB3D5E531E4}" xr6:coauthVersionLast="47" xr6:coauthVersionMax="47" xr10:uidLastSave="{00000000-0000-0000-0000-000000000000}"/>
  <bookViews>
    <workbookView xWindow="-108" yWindow="-108" windowWidth="23256" windowHeight="12456" tabRatio="629" firstSheet="1" activeTab="4" xr2:uid="{00000000-000D-0000-FFFF-FFFF00000000}"/>
  </bookViews>
  <sheets>
    <sheet name="Digital_Marketing" sheetId="1" r:id="rId1"/>
    <sheet name="Insights" sheetId="2" r:id="rId2"/>
    <sheet name="Pivot_Table" sheetId="8" r:id="rId3"/>
    <sheet name="Dash_Board" sheetId="10" r:id="rId4"/>
    <sheet name="WhatIf_Budget_Reallocation" sheetId="3" r:id="rId5"/>
  </sheets>
  <definedNames>
    <definedName name="Slicer_campaign_name">#N/A</definedName>
    <definedName name="Slicer_category">#N/A</definedName>
    <definedName name="Slicer_Days">#N/A</definedName>
    <definedName name="Slicer_Tier">#N/A</definedName>
  </definedNames>
  <calcPr calcId="191029"/>
  <pivotCaches>
    <pivotCache cacheId="32"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8" i="2" l="1"/>
  <c r="B48" i="2"/>
  <c r="C50" i="2"/>
  <c r="C49" i="2"/>
  <c r="C35" i="2"/>
  <c r="D35" i="2" s="1"/>
  <c r="B35" i="2"/>
  <c r="X309" i="1"/>
  <c r="X308" i="1"/>
  <c r="X307" i="1"/>
  <c r="X306" i="1"/>
  <c r="X305" i="1"/>
  <c r="X304" i="1"/>
  <c r="X303" i="1"/>
  <c r="X302" i="1"/>
  <c r="X301" i="1"/>
  <c r="X300" i="1"/>
  <c r="X299" i="1"/>
  <c r="X298" i="1"/>
  <c r="X297" i="1"/>
  <c r="X296" i="1"/>
  <c r="X295" i="1"/>
  <c r="X294" i="1"/>
  <c r="X293" i="1"/>
  <c r="X292" i="1"/>
  <c r="X291" i="1"/>
  <c r="X290" i="1"/>
  <c r="X289" i="1"/>
  <c r="X288" i="1"/>
  <c r="X287" i="1"/>
  <c r="X286" i="1"/>
  <c r="X285" i="1"/>
  <c r="X284" i="1"/>
  <c r="X283" i="1"/>
  <c r="X282" i="1"/>
  <c r="X281" i="1"/>
  <c r="X280" i="1"/>
  <c r="X279" i="1"/>
  <c r="X278" i="1"/>
  <c r="X277" i="1"/>
  <c r="X276" i="1"/>
  <c r="X275" i="1"/>
  <c r="X274" i="1"/>
  <c r="X273" i="1"/>
  <c r="X272" i="1"/>
  <c r="X271" i="1"/>
  <c r="X270" i="1"/>
  <c r="X269" i="1"/>
  <c r="X268" i="1"/>
  <c r="X267" i="1"/>
  <c r="X266" i="1"/>
  <c r="X265" i="1"/>
  <c r="X264" i="1"/>
  <c r="X263" i="1"/>
  <c r="X262" i="1"/>
  <c r="X261" i="1"/>
  <c r="X260" i="1"/>
  <c r="X259" i="1"/>
  <c r="X258" i="1"/>
  <c r="X257" i="1"/>
  <c r="X256" i="1"/>
  <c r="X255" i="1"/>
  <c r="X254" i="1"/>
  <c r="X253" i="1"/>
  <c r="X252" i="1"/>
  <c r="X251" i="1"/>
  <c r="X250" i="1"/>
  <c r="X249" i="1"/>
  <c r="X248" i="1"/>
  <c r="X247" i="1"/>
  <c r="X246" i="1"/>
  <c r="X245" i="1"/>
  <c r="X244" i="1"/>
  <c r="X243" i="1"/>
  <c r="X242" i="1"/>
  <c r="X241" i="1"/>
  <c r="X240" i="1"/>
  <c r="X239" i="1"/>
  <c r="X238" i="1"/>
  <c r="X237" i="1"/>
  <c r="X236" i="1"/>
  <c r="X235" i="1"/>
  <c r="X234" i="1"/>
  <c r="X233" i="1"/>
  <c r="X232" i="1"/>
  <c r="X231" i="1"/>
  <c r="X230" i="1"/>
  <c r="X229" i="1"/>
  <c r="X228" i="1"/>
  <c r="X227" i="1"/>
  <c r="X226" i="1"/>
  <c r="X225" i="1"/>
  <c r="X224" i="1"/>
  <c r="X223" i="1"/>
  <c r="X222" i="1"/>
  <c r="X221" i="1"/>
  <c r="X220" i="1"/>
  <c r="X219" i="1"/>
  <c r="X218" i="1"/>
  <c r="X217" i="1"/>
  <c r="C33" i="2" s="1"/>
  <c r="D33" i="2" s="1"/>
  <c r="X216" i="1"/>
  <c r="X215" i="1"/>
  <c r="X214" i="1"/>
  <c r="X213" i="1"/>
  <c r="X212" i="1"/>
  <c r="X211" i="1"/>
  <c r="X210" i="1"/>
  <c r="X209" i="1"/>
  <c r="X208" i="1"/>
  <c r="X207" i="1"/>
  <c r="X206" i="1"/>
  <c r="X205" i="1"/>
  <c r="X204" i="1"/>
  <c r="X203" i="1"/>
  <c r="X202" i="1"/>
  <c r="X201" i="1"/>
  <c r="X200" i="1"/>
  <c r="X199" i="1"/>
  <c r="X198" i="1"/>
  <c r="X197" i="1"/>
  <c r="X196" i="1"/>
  <c r="X195" i="1"/>
  <c r="X194" i="1"/>
  <c r="X193" i="1"/>
  <c r="X192" i="1"/>
  <c r="X191" i="1"/>
  <c r="X190" i="1"/>
  <c r="X189" i="1"/>
  <c r="X188" i="1"/>
  <c r="X187" i="1"/>
  <c r="X186" i="1"/>
  <c r="X185" i="1"/>
  <c r="X184" i="1"/>
  <c r="X183" i="1"/>
  <c r="X182" i="1"/>
  <c r="X181" i="1"/>
  <c r="X180" i="1"/>
  <c r="X179" i="1"/>
  <c r="X178" i="1"/>
  <c r="X177" i="1"/>
  <c r="X176" i="1"/>
  <c r="X175" i="1"/>
  <c r="X174" i="1"/>
  <c r="B49" i="2" s="1"/>
  <c r="X173" i="1"/>
  <c r="X172" i="1"/>
  <c r="B33" i="2" s="1"/>
  <c r="X171" i="1"/>
  <c r="X170" i="1"/>
  <c r="B50" i="2" s="1"/>
  <c r="X169" i="1"/>
  <c r="X168" i="1"/>
  <c r="X167" i="1"/>
  <c r="X166" i="1"/>
  <c r="X165" i="1"/>
  <c r="X164" i="1"/>
  <c r="X163" i="1"/>
  <c r="X162" i="1"/>
  <c r="X161" i="1"/>
  <c r="X160" i="1"/>
  <c r="X159" i="1"/>
  <c r="X158" i="1"/>
  <c r="X157" i="1"/>
  <c r="X156" i="1"/>
  <c r="X155" i="1"/>
  <c r="X154" i="1"/>
  <c r="X153" i="1"/>
  <c r="X152" i="1"/>
  <c r="X151" i="1"/>
  <c r="X150" i="1"/>
  <c r="X149" i="1"/>
  <c r="X148" i="1"/>
  <c r="X147" i="1"/>
  <c r="X146" i="1"/>
  <c r="X145" i="1"/>
  <c r="X144" i="1"/>
  <c r="X143" i="1"/>
  <c r="X142" i="1"/>
  <c r="X141" i="1"/>
  <c r="X140" i="1"/>
  <c r="X139" i="1"/>
  <c r="X138" i="1"/>
  <c r="X137" i="1"/>
  <c r="X136" i="1"/>
  <c r="X135" i="1"/>
  <c r="X134" i="1"/>
  <c r="X133" i="1"/>
  <c r="X132" i="1"/>
  <c r="X131" i="1"/>
  <c r="X130" i="1"/>
  <c r="X129" i="1"/>
  <c r="X128" i="1"/>
  <c r="X127" i="1"/>
  <c r="X126" i="1"/>
  <c r="X125" i="1"/>
  <c r="X124" i="1"/>
  <c r="X123" i="1"/>
  <c r="X122" i="1"/>
  <c r="X121" i="1"/>
  <c r="C34" i="2" s="1"/>
  <c r="D34" i="2" s="1"/>
  <c r="X120" i="1"/>
  <c r="X119" i="1"/>
  <c r="X118" i="1"/>
  <c r="X117" i="1"/>
  <c r="X116" i="1"/>
  <c r="X115" i="1"/>
  <c r="X114" i="1"/>
  <c r="B34" i="2" s="1"/>
  <c r="X113" i="1"/>
  <c r="X112" i="1"/>
  <c r="X111" i="1"/>
  <c r="X110" i="1"/>
  <c r="X109" i="1"/>
  <c r="X108" i="1"/>
  <c r="X107" i="1"/>
  <c r="X106" i="1"/>
  <c r="X105" i="1"/>
  <c r="X104" i="1"/>
  <c r="X103" i="1"/>
  <c r="X102" i="1"/>
  <c r="X101" i="1"/>
  <c r="X100" i="1"/>
  <c r="X99" i="1"/>
  <c r="X98" i="1"/>
  <c r="X97" i="1"/>
  <c r="X96" i="1"/>
  <c r="X95" i="1"/>
  <c r="X94" i="1"/>
  <c r="X93" i="1"/>
  <c r="X92" i="1"/>
  <c r="X91" i="1"/>
  <c r="X90" i="1"/>
  <c r="X89" i="1"/>
  <c r="X88" i="1"/>
  <c r="X87" i="1"/>
  <c r="X86" i="1"/>
  <c r="X85" i="1"/>
  <c r="X84" i="1"/>
  <c r="X83" i="1"/>
  <c r="X82" i="1"/>
  <c r="B23" i="2" s="1"/>
  <c r="X81" i="1"/>
  <c r="X80" i="1"/>
  <c r="X79" i="1"/>
  <c r="X78" i="1"/>
  <c r="X77" i="1"/>
  <c r="X76" i="1"/>
  <c r="X75" i="1"/>
  <c r="X74" i="1"/>
  <c r="X73" i="1"/>
  <c r="X72" i="1"/>
  <c r="X71" i="1"/>
  <c r="X70" i="1"/>
  <c r="X69" i="1"/>
  <c r="X68" i="1"/>
  <c r="X67" i="1"/>
  <c r="X66" i="1"/>
  <c r="X65" i="1"/>
  <c r="X64" i="1"/>
  <c r="X63" i="1"/>
  <c r="X62" i="1"/>
  <c r="X61" i="1"/>
  <c r="X60" i="1"/>
  <c r="X59" i="1"/>
  <c r="X58" i="1"/>
  <c r="X57" i="1"/>
  <c r="X56" i="1"/>
  <c r="X55" i="1"/>
  <c r="X54" i="1"/>
  <c r="X53" i="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X20" i="1"/>
  <c r="X19" i="1"/>
  <c r="X18" i="1"/>
  <c r="X17" i="1"/>
  <c r="X16" i="1"/>
  <c r="X15" i="1"/>
  <c r="X14" i="1"/>
  <c r="X13" i="1"/>
  <c r="X12" i="1"/>
  <c r="X11" i="1"/>
  <c r="X10" i="1"/>
  <c r="X9" i="1"/>
  <c r="X8" i="1"/>
  <c r="X7" i="1"/>
  <c r="X6" i="1"/>
  <c r="X5" i="1"/>
  <c r="X4" i="1"/>
  <c r="X3" i="1"/>
  <c r="X2" i="1"/>
  <c r="B22" i="2" s="1"/>
  <c r="B36" i="2" l="1"/>
  <c r="C36" i="2"/>
  <c r="D36" i="2" s="1"/>
  <c r="B37" i="2"/>
  <c r="C37" i="2"/>
  <c r="D37" i="2" s="1"/>
  <c r="B47" i="2"/>
  <c r="C47" i="2"/>
  <c r="D47" i="2" s="1"/>
  <c r="D49" i="2"/>
  <c r="D50" i="2"/>
  <c r="D48" i="2"/>
  <c r="C9" i="2"/>
  <c r="D11" i="2"/>
  <c r="C10" i="2"/>
  <c r="D5" i="2"/>
  <c r="B5" i="2"/>
  <c r="C11" i="2"/>
  <c r="B4" i="2"/>
  <c r="D4" i="2"/>
  <c r="C5" i="2"/>
  <c r="D10" i="2"/>
  <c r="C13" i="2"/>
  <c r="C8" i="2"/>
  <c r="B6" i="2"/>
  <c r="D8" i="2"/>
  <c r="B8" i="2"/>
  <c r="C6" i="2"/>
  <c r="B11" i="2"/>
  <c r="F11" i="2" s="1"/>
  <c r="D7" i="2"/>
  <c r="D6" i="2"/>
  <c r="C4" i="2"/>
  <c r="B9" i="2"/>
  <c r="B7" i="2"/>
  <c r="D9" i="2"/>
  <c r="C7" i="2"/>
  <c r="B13" i="2"/>
  <c r="B10" i="2"/>
  <c r="E10" i="2" s="1"/>
  <c r="E9" i="2" l="1"/>
  <c r="B10" i="3" s="1"/>
  <c r="E5" i="2"/>
  <c r="E13" i="2"/>
  <c r="E4" i="2"/>
  <c r="B12" i="3" s="1"/>
  <c r="F4" i="2"/>
  <c r="F5" i="2"/>
  <c r="E7" i="2"/>
  <c r="B11" i="3"/>
  <c r="E8" i="2"/>
  <c r="F10" i="2"/>
  <c r="E6" i="2"/>
  <c r="F8" i="2"/>
  <c r="E11" i="2"/>
  <c r="F7" i="2"/>
  <c r="F6" i="2"/>
  <c r="B9" i="3"/>
  <c r="B13" i="3" s="1"/>
  <c r="F9" i="2"/>
  <c r="B15" i="3" l="1"/>
  <c r="B14" i="3"/>
  <c r="B16" i="3" l="1"/>
</calcChain>
</file>

<file path=xl/sharedStrings.xml><?xml version="1.0" encoding="utf-8"?>
<sst xmlns="http://schemas.openxmlformats.org/spreadsheetml/2006/main" count="1665" uniqueCount="82">
  <si>
    <t>id</t>
  </si>
  <si>
    <t>c_date</t>
  </si>
  <si>
    <t>Weekdays</t>
  </si>
  <si>
    <t>category</t>
  </si>
  <si>
    <t>campaign_id</t>
  </si>
  <si>
    <t>impressions</t>
  </si>
  <si>
    <t>mark_spent</t>
  </si>
  <si>
    <t>clicks</t>
  </si>
  <si>
    <t>leads</t>
  </si>
  <si>
    <t>ROMI 1</t>
  </si>
  <si>
    <t>Click percentage</t>
  </si>
  <si>
    <t>Conversion 1</t>
  </si>
  <si>
    <t>Conversion 2I</t>
  </si>
  <si>
    <t>AOV1</t>
  </si>
  <si>
    <t>CPC</t>
  </si>
  <si>
    <t>CPL1</t>
  </si>
  <si>
    <t>CAC</t>
  </si>
  <si>
    <t>Gross profit</t>
  </si>
  <si>
    <t>Days</t>
  </si>
  <si>
    <t>Tier</t>
  </si>
  <si>
    <t>IsValid</t>
  </si>
  <si>
    <t>Mon</t>
  </si>
  <si>
    <t>social</t>
  </si>
  <si>
    <t>weekday</t>
  </si>
  <si>
    <t>facebook</t>
  </si>
  <si>
    <t>tier1</t>
  </si>
  <si>
    <t>tier2</t>
  </si>
  <si>
    <t>retargeting</t>
  </si>
  <si>
    <t>lal</t>
  </si>
  <si>
    <t>Tue</t>
  </si>
  <si>
    <t>Wed</t>
  </si>
  <si>
    <t>Thu</t>
  </si>
  <si>
    <t>Fri</t>
  </si>
  <si>
    <t>Sat</t>
  </si>
  <si>
    <t>weekend</t>
  </si>
  <si>
    <t>Sun</t>
  </si>
  <si>
    <t>instagram</t>
  </si>
  <si>
    <t>search</t>
  </si>
  <si>
    <t>google</t>
  </si>
  <si>
    <t>hot</t>
  </si>
  <si>
    <t>wide</t>
  </si>
  <si>
    <t>influencer</t>
  </si>
  <si>
    <t>youtube</t>
  </si>
  <si>
    <t>blogger</t>
  </si>
  <si>
    <t>media</t>
  </si>
  <si>
    <t>banner</t>
  </si>
  <si>
    <t>partner</t>
  </si>
  <si>
    <t>Total Spend</t>
  </si>
  <si>
    <t>Total Revenue</t>
  </si>
  <si>
    <t>ROMI</t>
  </si>
  <si>
    <t>TOTAL (overall clean ROMI)</t>
  </si>
  <si>
    <t>What-If: Shift Budget FROM a Low-ROMI Tier TO a High-ROMI Tier</t>
  </si>
  <si>
    <t>Source tier (losing budget)</t>
  </si>
  <si>
    <t>Target tier (gaining budget)</t>
  </si>
  <si>
    <t>% of source spend to shift (INPUT)</t>
  </si>
  <si>
    <t>Source tier current spend</t>
  </si>
  <si>
    <t>Source tier current ROMI</t>
  </si>
  <si>
    <t>Target tier current spend</t>
  </si>
  <si>
    <t>Target tier current ROMI</t>
  </si>
  <si>
    <t>Budget amount shifted</t>
  </si>
  <si>
    <t>Revenue LOST from source (shifted budget x source ROMI)</t>
  </si>
  <si>
    <t>Revenue GAINED at target (shifted budget x target ROMI)</t>
  </si>
  <si>
    <t>Net revenue impact of this shift</t>
  </si>
  <si>
    <t>Average Daily Revenue: Weekday vs Weekend</t>
  </si>
  <si>
    <t>Campaign</t>
  </si>
  <si>
    <t>Category</t>
  </si>
  <si>
    <t xml:space="preserve">Orders </t>
  </si>
  <si>
    <t xml:space="preserve">ROMI by Channel / Audience Tier </t>
  </si>
  <si>
    <t xml:space="preserve">ROMI by Named Campaign </t>
  </si>
  <si>
    <t xml:space="preserve">ROMI by Category </t>
  </si>
  <si>
    <t>Row Labels</t>
  </si>
  <si>
    <t>Grand Total</t>
  </si>
  <si>
    <t>Sum of revenue</t>
  </si>
  <si>
    <t>Sum of ROMI</t>
  </si>
  <si>
    <t>Sum of Field1</t>
  </si>
  <si>
    <t>Sum of mark_spent</t>
  </si>
  <si>
    <t>Sum of orders</t>
  </si>
  <si>
    <t xml:space="preserve">Avg Revenue </t>
  </si>
  <si>
    <t>Orders</t>
  </si>
  <si>
    <t>Revenue</t>
  </si>
  <si>
    <t>Campaign_name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</si>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</sst>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7" formatCode="_(* #,##0_);_(* \(#,##0\);_(* &quot;-&quot;??_);_(@_)"/>
    <numFmt numFmtId="168" formatCode="_-[$₦-470]* #,##0.00_-;\-[$₦-470]* #,##0.00_-;_-[$₦-470]* &quot;-&quot;??_-;_-@_-"/>
  </numFmts>
  <fonts count="8" x14ac:knownFonts="1">
    <font>
      <sz val="11"/>
      <color theme="1"/>
      <name val="Calibri"/>
      <family val="2"/>
      <scheme val="minor"/>
    </font>
    <font>
      <b/>
      <sz val="11"/>
      <color rgb="FFFFFFFF"/>
      <name val="Calibri"/>
    </font>
    <font>
      <b/>
      <sz val="12"/>
      <color rgb="FF1B4965"/>
      <name val="Calibri"/>
    </font>
    <font>
      <b/>
      <sz val="11"/>
      <name val="Calibri"/>
    </font>
    <font>
      <i/>
      <sz val="11"/>
      <color rgb="FF5A7285"/>
      <name val="Calibri"/>
    </font>
    <font>
      <b/>
      <sz val="12"/>
      <name val="Calibri"/>
    </font>
    <font>
      <sz val="11"/>
      <name val="Calibri"/>
    </font>
    <font>
      <sz val="11"/>
      <color theme="1"/>
      <name val="Calibri"/>
      <family val="2"/>
      <scheme val="minor"/>
    </font>
  </fonts>
  <fills count="5">
    <fill>
      <patternFill patternType="none"/>
    </fill>
    <fill>
      <patternFill patternType="gray125"/>
    </fill>
    <fill>
      <patternFill patternType="solid">
        <fgColor rgb="FF1B4965"/>
      </patternFill>
    </fill>
    <fill>
      <patternFill patternType="solid">
        <fgColor rgb="FFFFF3CD"/>
      </patternFill>
    </fill>
    <fill>
      <patternFill patternType="solid">
        <fgColor theme="0" tint="-4.9989318521683403E-2"/>
        <bgColor indexed="64"/>
      </patternFill>
    </fill>
  </fills>
  <borders count="1">
    <border>
      <left/>
      <right/>
      <top/>
      <bottom/>
      <diagonal/>
    </border>
  </borders>
  <cellStyleXfs count="2">
    <xf numFmtId="0" fontId="0" fillId="0" borderId="0"/>
    <xf numFmtId="44" fontId="7" fillId="0" borderId="0" applyFont="0" applyFill="0" applyBorder="0" applyAlignment="0" applyProtection="0"/>
  </cellStyleXfs>
  <cellXfs count="23">
    <xf numFmtId="0" fontId="0" fillId="0" borderId="0" xfId="0"/>
    <xf numFmtId="0" fontId="1" fillId="2" borderId="0" xfId="0" applyFont="1" applyFill="1"/>
    <xf numFmtId="0" fontId="2" fillId="0" borderId="0" xfId="0" applyFont="1"/>
    <xf numFmtId="0" fontId="3" fillId="0" borderId="0" xfId="0" applyFont="1"/>
    <xf numFmtId="0" fontId="4" fillId="0" borderId="0" xfId="0" applyFont="1"/>
    <xf numFmtId="0" fontId="6" fillId="0" borderId="0" xfId="0" applyFont="1"/>
    <xf numFmtId="3" fontId="0" fillId="0" borderId="0" xfId="0" applyNumberFormat="1"/>
    <xf numFmtId="4" fontId="0" fillId="0" borderId="0" xfId="0" applyNumberFormat="1"/>
    <xf numFmtId="2" fontId="0" fillId="0" borderId="0" xfId="0" applyNumberFormat="1"/>
    <xf numFmtId="10" fontId="0" fillId="0" borderId="0" xfId="0" applyNumberFormat="1"/>
    <xf numFmtId="2" fontId="3" fillId="0" borderId="0" xfId="0" applyNumberFormat="1" applyFont="1"/>
    <xf numFmtId="14" fontId="0" fillId="0" borderId="0" xfId="0" applyNumberFormat="1"/>
    <xf numFmtId="0" fontId="0" fillId="0" borderId="0" xfId="0" pivotButton="1"/>
    <xf numFmtId="0" fontId="0" fillId="0" borderId="0" xfId="0" applyAlignment="1">
      <alignment horizontal="left"/>
    </xf>
    <xf numFmtId="0" fontId="0" fillId="4" borderId="0" xfId="0" applyFill="1"/>
    <xf numFmtId="167" fontId="0" fillId="0" borderId="0" xfId="0" applyNumberFormat="1"/>
    <xf numFmtId="168" fontId="0" fillId="0" borderId="0" xfId="1" applyNumberFormat="1" applyFont="1"/>
    <xf numFmtId="168" fontId="0" fillId="0" borderId="0" xfId="0" applyNumberFormat="1"/>
    <xf numFmtId="168" fontId="1" fillId="2" borderId="0" xfId="1" applyNumberFormat="1" applyFont="1" applyFill="1"/>
    <xf numFmtId="168" fontId="3" fillId="0" borderId="0" xfId="1" applyNumberFormat="1" applyFont="1"/>
    <xf numFmtId="168" fontId="1" fillId="2" borderId="0" xfId="0" applyNumberFormat="1" applyFont="1" applyFill="1"/>
    <xf numFmtId="168" fontId="0" fillId="3" borderId="0" xfId="1" applyNumberFormat="1" applyFont="1" applyFill="1"/>
    <xf numFmtId="168" fontId="5" fillId="0" borderId="0" xfId="1" applyNumberFormat="1" applyFont="1"/>
  </cellXfs>
  <cellStyles count="2">
    <cellStyle name="Currency" xfId="1" builtinId="4"/>
    <cellStyle name="Normal" xfId="0" builtinId="0"/>
  </cellStyles>
  <dxfs count="69">
    <dxf>
      <numFmt numFmtId="167" formatCode="_(* #,##0_);_(* \(#,##0\);_(*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2" formatCode="0.00"/>
    </dxf>
    <dxf>
      <numFmt numFmtId="168" formatCode="_-[$₦-470]* #,##0.00_-;\-[$₦-470]* #,##0.00_-;_-[$₦-470]* &quot;-&quot;??_-;_-@_-"/>
    </dxf>
    <dxf>
      <numFmt numFmtId="168" formatCode="_-[$₦-470]* #,##0.00_-;\-[$₦-470]* #,##0.00_-;_-[$₦-470]* &quot;-&quot;??_-;_-@_-"/>
    </dxf>
    <dxf>
      <numFmt numFmtId="167" formatCode="_(* #,##0_);_(* \(#,##0\);_(*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2" formatCode="0.00"/>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8" formatCode="_-[$₦-470]* #,##0.00_-;\-[$₦-470]* #,##0.00_-;_-[$₦-470]* &quot;-&quot;??_-;_-@_-"/>
    </dxf>
    <dxf>
      <numFmt numFmtId="167" formatCode="_(* #,##0_);_(* \(#,##0\);_(* &quot;-&quot;??_);_(@_)"/>
    </dxf>
    <dxf>
      <numFmt numFmtId="2" formatCode="0.00"/>
    </dxf>
    <dxf>
      <numFmt numFmtId="167" formatCode="_(* #,##0_);_(* \(#,##0\);_(* &quot;-&quot;??_);_(@_)"/>
    </dxf>
    <dxf>
      <numFmt numFmtId="2" formatCode="0.00"/>
    </dxf>
    <dxf>
      <numFmt numFmtId="168" formatCode="_-[$₦-470]* #,##0.00_-;\-[$₦-470]* #,##0.00_-;_-[$₦-470]* &quot;-&quot;??_-;_-@_-"/>
    </dxf>
    <dxf>
      <numFmt numFmtId="168" formatCode="_-[$₦-470]* #,##0.00_-;\-[$₦-470]* #,##0.00_-;_-[$₦-470]* &quot;-&quot;??_-;_-@_-"/>
    </dxf>
    <dxf>
      <numFmt numFmtId="168" formatCode="_-[$₦-470]* #,##0.00_-;\-[$₦-470]* #,##0.00_-;_-[$₦-470]* &quot;-&quot;??_-;_-@_-"/>
    </dxf>
    <dxf>
      <numFmt numFmtId="167" formatCode="_(* #,##0_);_(* \(#,##0\);_(* &quot;-&quot;??_);_(@_)"/>
    </dxf>
    <dxf>
      <numFmt numFmtId="2" formatCode="0.00"/>
    </dxf>
    <dxf>
      <numFmt numFmtId="4" formatCode="#,##0.00"/>
    </dxf>
    <dxf>
      <numFmt numFmtId="4" formatCode="#,##0.00"/>
    </dxf>
    <dxf>
      <numFmt numFmtId="4" formatCode="#,##0.00"/>
    </dxf>
    <dxf>
      <numFmt numFmtId="4" formatCode="#,##0.00"/>
    </dxf>
    <dxf>
      <numFmt numFmtId="14" formatCode="0.00%"/>
    </dxf>
    <dxf>
      <numFmt numFmtId="14" formatCode="0.00%"/>
    </dxf>
    <dxf>
      <numFmt numFmtId="14" formatCode="0.00%"/>
    </dxf>
    <dxf>
      <numFmt numFmtId="2" formatCode="0.00"/>
    </dxf>
    <dxf>
      <numFmt numFmtId="3" formatCode="#,##0"/>
    </dxf>
    <dxf>
      <numFmt numFmtId="3" formatCode="#,##0"/>
    </dxf>
    <dxf>
      <numFmt numFmtId="3" formatCode="#,##0"/>
    </dxf>
    <dxf>
      <numFmt numFmtId="3" formatCode="#,##0"/>
    </dxf>
    <dxf>
      <numFmt numFmtId="3" formatCode="#,##0"/>
    </dxf>
    <dxf>
      <numFmt numFmtId="19" formatCode="m/d/yyyy"/>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ROMI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Insights!$B$46</c:f>
              <c:strCache>
                <c:ptCount val="1"/>
                <c:pt idx="0">
                  <c:v> Total Spend </c:v>
                </c:pt>
              </c:strCache>
            </c:strRef>
          </c:tx>
          <c:spPr>
            <a:solidFill>
              <a:schemeClr val="accent1"/>
            </a:solidFill>
            <a:ln>
              <a:noFill/>
            </a:ln>
            <a:effectLst/>
          </c:spPr>
          <c:invertIfNegative val="0"/>
          <c:cat>
            <c:strRef>
              <c:f>Insights!$A$47:$A$50</c:f>
              <c:strCache>
                <c:ptCount val="4"/>
                <c:pt idx="0">
                  <c:v>influencer</c:v>
                </c:pt>
                <c:pt idx="1">
                  <c:v>social</c:v>
                </c:pt>
                <c:pt idx="2">
                  <c:v>media</c:v>
                </c:pt>
                <c:pt idx="3">
                  <c:v>search</c:v>
                </c:pt>
              </c:strCache>
            </c:strRef>
          </c:cat>
          <c:val>
            <c:numRef>
              <c:f>Insights!$B$47:$B$50</c:f>
              <c:numCache>
                <c:formatCode>_-[$₦-470]* #,##0.00_-;\-[$₦-470]* #,##0.00_-;_-[$₦-470]* "-"??_-;_-@_-</c:formatCode>
                <c:ptCount val="4"/>
                <c:pt idx="0">
                  <c:v>8305304.0800000001</c:v>
                </c:pt>
                <c:pt idx="1">
                  <c:v>13798500.910000006</c:v>
                </c:pt>
                <c:pt idx="2">
                  <c:v>5026674.7600000016</c:v>
                </c:pt>
                <c:pt idx="3">
                  <c:v>3460400.0700000012</c:v>
                </c:pt>
              </c:numCache>
            </c:numRef>
          </c:val>
          <c:extLst>
            <c:ext xmlns:c16="http://schemas.microsoft.com/office/drawing/2014/chart" uri="{C3380CC4-5D6E-409C-BE32-E72D297353CC}">
              <c16:uniqueId val="{00000000-9348-4654-989E-35E7B5167C16}"/>
            </c:ext>
          </c:extLst>
        </c:ser>
        <c:ser>
          <c:idx val="1"/>
          <c:order val="1"/>
          <c:tx>
            <c:strRef>
              <c:f>Insights!$C$46</c:f>
              <c:strCache>
                <c:ptCount val="1"/>
                <c:pt idx="0">
                  <c:v> Total Revenue </c:v>
                </c:pt>
              </c:strCache>
            </c:strRef>
          </c:tx>
          <c:spPr>
            <a:solidFill>
              <a:schemeClr val="accent2"/>
            </a:solidFill>
            <a:ln>
              <a:noFill/>
            </a:ln>
            <a:effectLst/>
          </c:spPr>
          <c:invertIfNegative val="0"/>
          <c:cat>
            <c:strRef>
              <c:f>Insights!$A$47:$A$50</c:f>
              <c:strCache>
                <c:ptCount val="4"/>
                <c:pt idx="0">
                  <c:v>influencer</c:v>
                </c:pt>
                <c:pt idx="1">
                  <c:v>social</c:v>
                </c:pt>
                <c:pt idx="2">
                  <c:v>media</c:v>
                </c:pt>
                <c:pt idx="3">
                  <c:v>search</c:v>
                </c:pt>
              </c:strCache>
            </c:strRef>
          </c:cat>
          <c:val>
            <c:numRef>
              <c:f>Insights!$C$47:$C$50</c:f>
              <c:numCache>
                <c:formatCode>_-[$₦-470]* #,##0.00_-;\-[$₦-470]* #,##0.00_-;_-[$₦-470]* "-"??_-;_-@_-</c:formatCode>
                <c:ptCount val="4"/>
                <c:pt idx="0">
                  <c:v>21119887</c:v>
                </c:pt>
                <c:pt idx="1">
                  <c:v>11911454</c:v>
                </c:pt>
                <c:pt idx="2">
                  <c:v>6152960</c:v>
                </c:pt>
                <c:pt idx="3">
                  <c:v>3705065</c:v>
                </c:pt>
              </c:numCache>
            </c:numRef>
          </c:val>
          <c:extLst>
            <c:ext xmlns:c16="http://schemas.microsoft.com/office/drawing/2014/chart" uri="{C3380CC4-5D6E-409C-BE32-E72D297353CC}">
              <c16:uniqueId val="{00000001-9348-4654-989E-35E7B5167C16}"/>
            </c:ext>
          </c:extLst>
        </c:ser>
        <c:ser>
          <c:idx val="2"/>
          <c:order val="2"/>
          <c:tx>
            <c:strRef>
              <c:f>Insights!$D$46</c:f>
              <c:strCache>
                <c:ptCount val="1"/>
                <c:pt idx="0">
                  <c:v>ROMI</c:v>
                </c:pt>
              </c:strCache>
            </c:strRef>
          </c:tx>
          <c:spPr>
            <a:solidFill>
              <a:schemeClr val="accent3"/>
            </a:solidFill>
            <a:ln>
              <a:noFill/>
            </a:ln>
            <a:effectLst/>
          </c:spPr>
          <c:invertIfNegative val="0"/>
          <c:cat>
            <c:strRef>
              <c:f>Insights!$A$47:$A$50</c:f>
              <c:strCache>
                <c:ptCount val="4"/>
                <c:pt idx="0">
                  <c:v>influencer</c:v>
                </c:pt>
                <c:pt idx="1">
                  <c:v>social</c:v>
                </c:pt>
                <c:pt idx="2">
                  <c:v>media</c:v>
                </c:pt>
                <c:pt idx="3">
                  <c:v>search</c:v>
                </c:pt>
              </c:strCache>
            </c:strRef>
          </c:cat>
          <c:val>
            <c:numRef>
              <c:f>Insights!$D$47:$D$50</c:f>
              <c:numCache>
                <c:formatCode>0.00</c:formatCode>
                <c:ptCount val="4"/>
                <c:pt idx="0">
                  <c:v>2.5429396439389609</c:v>
                </c:pt>
                <c:pt idx="1">
                  <c:v>0.86324261437469407</c:v>
                </c:pt>
                <c:pt idx="2">
                  <c:v>1.2240616896407275</c:v>
                </c:pt>
                <c:pt idx="3">
                  <c:v>1.0707042321843436</c:v>
                </c:pt>
              </c:numCache>
            </c:numRef>
          </c:val>
          <c:extLst>
            <c:ext xmlns:c16="http://schemas.microsoft.com/office/drawing/2014/chart" uri="{C3380CC4-5D6E-409C-BE32-E72D297353CC}">
              <c16:uniqueId val="{00000002-9348-4654-989E-35E7B5167C16}"/>
            </c:ext>
          </c:extLst>
        </c:ser>
        <c:dLbls>
          <c:showLegendKey val="0"/>
          <c:showVal val="0"/>
          <c:showCatName val="0"/>
          <c:showSerName val="0"/>
          <c:showPercent val="0"/>
          <c:showBubbleSize val="0"/>
        </c:dLbls>
        <c:gapWidth val="219"/>
        <c:overlap val="-27"/>
        <c:axId val="456349680"/>
        <c:axId val="327235632"/>
      </c:barChart>
      <c:catAx>
        <c:axId val="45634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235632"/>
        <c:crosses val="autoZero"/>
        <c:auto val="1"/>
        <c:lblAlgn val="ctr"/>
        <c:lblOffset val="100"/>
        <c:noMultiLvlLbl val="0"/>
      </c:catAx>
      <c:valAx>
        <c:axId val="327235632"/>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56349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ROMI BY CAMPAIGN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Insights!$B$32</c:f>
              <c:strCache>
                <c:ptCount val="1"/>
                <c:pt idx="0">
                  <c:v> Total Spend </c:v>
                </c:pt>
              </c:strCache>
            </c:strRef>
          </c:tx>
          <c:spPr>
            <a:solidFill>
              <a:schemeClr val="accent1"/>
            </a:solidFill>
            <a:ln>
              <a:noFill/>
            </a:ln>
            <a:effectLst/>
          </c:spPr>
          <c:invertIfNegative val="0"/>
          <c:cat>
            <c:strRef>
              <c:f>Insights!$A$33:$A$37</c:f>
              <c:strCache>
                <c:ptCount val="5"/>
                <c:pt idx="0">
                  <c:v>youtube</c:v>
                </c:pt>
                <c:pt idx="1">
                  <c:v>instagram</c:v>
                </c:pt>
                <c:pt idx="2">
                  <c:v>banner</c:v>
                </c:pt>
                <c:pt idx="3">
                  <c:v>google</c:v>
                </c:pt>
                <c:pt idx="4">
                  <c:v>facebook</c:v>
                </c:pt>
              </c:strCache>
            </c:strRef>
          </c:cat>
          <c:val>
            <c:numRef>
              <c:f>Insights!$B$33:$B$37</c:f>
              <c:numCache>
                <c:formatCode>_-[$₦-470]* #,##0.00_-;\-[$₦-470]* #,##0.00_-;_-[$₦-470]* "-"??_-;_-@_-</c:formatCode>
                <c:ptCount val="5"/>
                <c:pt idx="0">
                  <c:v>4057936.51</c:v>
                </c:pt>
                <c:pt idx="1">
                  <c:v>7878798.5700000003</c:v>
                </c:pt>
                <c:pt idx="2">
                  <c:v>5026674.7600000016</c:v>
                </c:pt>
                <c:pt idx="3">
                  <c:v>3460400.0700000012</c:v>
                </c:pt>
                <c:pt idx="4">
                  <c:v>10167069.910000002</c:v>
                </c:pt>
              </c:numCache>
            </c:numRef>
          </c:val>
          <c:extLst>
            <c:ext xmlns:c16="http://schemas.microsoft.com/office/drawing/2014/chart" uri="{C3380CC4-5D6E-409C-BE32-E72D297353CC}">
              <c16:uniqueId val="{00000000-0DDA-4D48-B987-D319882BE9A2}"/>
            </c:ext>
          </c:extLst>
        </c:ser>
        <c:ser>
          <c:idx val="1"/>
          <c:order val="1"/>
          <c:tx>
            <c:strRef>
              <c:f>Insights!$C$32</c:f>
              <c:strCache>
                <c:ptCount val="1"/>
                <c:pt idx="0">
                  <c:v> Total Revenue </c:v>
                </c:pt>
              </c:strCache>
            </c:strRef>
          </c:tx>
          <c:spPr>
            <a:solidFill>
              <a:schemeClr val="accent2"/>
            </a:solidFill>
            <a:ln>
              <a:noFill/>
            </a:ln>
            <a:effectLst/>
          </c:spPr>
          <c:invertIfNegative val="0"/>
          <c:cat>
            <c:strRef>
              <c:f>Insights!$A$33:$A$37</c:f>
              <c:strCache>
                <c:ptCount val="5"/>
                <c:pt idx="0">
                  <c:v>youtube</c:v>
                </c:pt>
                <c:pt idx="1">
                  <c:v>instagram</c:v>
                </c:pt>
                <c:pt idx="2">
                  <c:v>banner</c:v>
                </c:pt>
                <c:pt idx="3">
                  <c:v>google</c:v>
                </c:pt>
                <c:pt idx="4">
                  <c:v>facebook</c:v>
                </c:pt>
              </c:strCache>
            </c:strRef>
          </c:cat>
          <c:val>
            <c:numRef>
              <c:f>Insights!$C$33:$C$37</c:f>
              <c:numCache>
                <c:formatCode>_-[$₦-470]* #,##0.00_-;\-[$₦-470]* #,##0.00_-;_-[$₦-470]* "-"??_-;_-@_-</c:formatCode>
                <c:ptCount val="5"/>
                <c:pt idx="0">
                  <c:v>15311433</c:v>
                </c:pt>
                <c:pt idx="1">
                  <c:v>11023038</c:v>
                </c:pt>
                <c:pt idx="2">
                  <c:v>6152960</c:v>
                </c:pt>
                <c:pt idx="3">
                  <c:v>3705065</c:v>
                </c:pt>
                <c:pt idx="4">
                  <c:v>6696870</c:v>
                </c:pt>
              </c:numCache>
            </c:numRef>
          </c:val>
          <c:extLst>
            <c:ext xmlns:c16="http://schemas.microsoft.com/office/drawing/2014/chart" uri="{C3380CC4-5D6E-409C-BE32-E72D297353CC}">
              <c16:uniqueId val="{00000001-0DDA-4D48-B987-D319882BE9A2}"/>
            </c:ext>
          </c:extLst>
        </c:ser>
        <c:ser>
          <c:idx val="2"/>
          <c:order val="2"/>
          <c:tx>
            <c:strRef>
              <c:f>Insights!$D$32</c:f>
              <c:strCache>
                <c:ptCount val="1"/>
                <c:pt idx="0">
                  <c:v>ROMI</c:v>
                </c:pt>
              </c:strCache>
            </c:strRef>
          </c:tx>
          <c:spPr>
            <a:solidFill>
              <a:schemeClr val="accent3"/>
            </a:solidFill>
            <a:ln>
              <a:noFill/>
            </a:ln>
            <a:effectLst/>
          </c:spPr>
          <c:invertIfNegative val="0"/>
          <c:cat>
            <c:strRef>
              <c:f>Insights!$A$33:$A$37</c:f>
              <c:strCache>
                <c:ptCount val="5"/>
                <c:pt idx="0">
                  <c:v>youtube</c:v>
                </c:pt>
                <c:pt idx="1">
                  <c:v>instagram</c:v>
                </c:pt>
                <c:pt idx="2">
                  <c:v>banner</c:v>
                </c:pt>
                <c:pt idx="3">
                  <c:v>google</c:v>
                </c:pt>
                <c:pt idx="4">
                  <c:v>facebook</c:v>
                </c:pt>
              </c:strCache>
            </c:strRef>
          </c:cat>
          <c:val>
            <c:numRef>
              <c:f>Insights!$D$33:$D$37</c:f>
              <c:numCache>
                <c:formatCode>0.00</c:formatCode>
                <c:ptCount val="5"/>
                <c:pt idx="0">
                  <c:v>3.7732066438861067</c:v>
                </c:pt>
                <c:pt idx="1">
                  <c:v>1.3990760015076764</c:v>
                </c:pt>
                <c:pt idx="2">
                  <c:v>1.2240616896407275</c:v>
                </c:pt>
                <c:pt idx="3">
                  <c:v>1.0707042321843436</c:v>
                </c:pt>
                <c:pt idx="4">
                  <c:v>0.65868239908660164</c:v>
                </c:pt>
              </c:numCache>
            </c:numRef>
          </c:val>
          <c:extLst>
            <c:ext xmlns:c16="http://schemas.microsoft.com/office/drawing/2014/chart" uri="{C3380CC4-5D6E-409C-BE32-E72D297353CC}">
              <c16:uniqueId val="{00000002-0DDA-4D48-B987-D319882BE9A2}"/>
            </c:ext>
          </c:extLst>
        </c:ser>
        <c:dLbls>
          <c:showLegendKey val="0"/>
          <c:showVal val="0"/>
          <c:showCatName val="0"/>
          <c:showSerName val="0"/>
          <c:showPercent val="0"/>
          <c:showBubbleSize val="0"/>
        </c:dLbls>
        <c:gapWidth val="219"/>
        <c:overlap val="-27"/>
        <c:axId val="1608198384"/>
        <c:axId val="327185232"/>
      </c:barChart>
      <c:catAx>
        <c:axId val="160819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185232"/>
        <c:crosses val="autoZero"/>
        <c:auto val="1"/>
        <c:lblAlgn val="ctr"/>
        <c:lblOffset val="100"/>
        <c:noMultiLvlLbl val="0"/>
      </c:catAx>
      <c:valAx>
        <c:axId val="327185232"/>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8198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a:t> Avg Revenue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Insights!$B$21</c:f>
              <c:strCache>
                <c:ptCount val="1"/>
                <c:pt idx="0">
                  <c:v> Avg Revenue  </c:v>
                </c:pt>
              </c:strCache>
            </c:strRef>
          </c:tx>
          <c:spPr>
            <a:solidFill>
              <a:schemeClr val="accent1"/>
            </a:solidFill>
            <a:ln>
              <a:noFill/>
            </a:ln>
            <a:effectLst/>
          </c:spPr>
          <c:invertIfNegative val="0"/>
          <c:cat>
            <c:strRef>
              <c:f>Insights!$A$22:$A$23</c:f>
              <c:strCache>
                <c:ptCount val="2"/>
                <c:pt idx="0">
                  <c:v>weekday</c:v>
                </c:pt>
                <c:pt idx="1">
                  <c:v>weekend</c:v>
                </c:pt>
              </c:strCache>
            </c:strRef>
          </c:cat>
          <c:val>
            <c:numRef>
              <c:f>Insights!$B$22:$B$23</c:f>
              <c:numCache>
                <c:formatCode>_-[$₦-470]* #,##0.00_-;\-[$₦-470]* #,##0.00_-;_-[$₦-470]* "-"??_-;_-@_-</c:formatCode>
                <c:ptCount val="2"/>
                <c:pt idx="0">
                  <c:v>141914.24090909091</c:v>
                </c:pt>
                <c:pt idx="1">
                  <c:v>132593.55681818182</c:v>
                </c:pt>
              </c:numCache>
            </c:numRef>
          </c:val>
          <c:extLst>
            <c:ext xmlns:c16="http://schemas.microsoft.com/office/drawing/2014/chart" uri="{C3380CC4-5D6E-409C-BE32-E72D297353CC}">
              <c16:uniqueId val="{00000000-555E-48CD-B9EE-0F81934D1F5C}"/>
            </c:ext>
          </c:extLst>
        </c:ser>
        <c:dLbls>
          <c:showLegendKey val="0"/>
          <c:showVal val="0"/>
          <c:showCatName val="0"/>
          <c:showSerName val="0"/>
          <c:showPercent val="0"/>
          <c:showBubbleSize val="0"/>
        </c:dLbls>
        <c:gapWidth val="219"/>
        <c:overlap val="-27"/>
        <c:axId val="1602636160"/>
        <c:axId val="1607564688"/>
      </c:barChart>
      <c:catAx>
        <c:axId val="160263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7564688"/>
        <c:crosses val="autoZero"/>
        <c:auto val="1"/>
        <c:lblAlgn val="ctr"/>
        <c:lblOffset val="100"/>
        <c:noMultiLvlLbl val="0"/>
      </c:catAx>
      <c:valAx>
        <c:axId val="160756468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263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GB"/>
              <a:t>ROMI</a:t>
            </a:r>
            <a:r>
              <a:rPr lang="en-GB" baseline="0"/>
              <a:t> BY TIER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Insights!$B$3</c:f>
              <c:strCache>
                <c:ptCount val="1"/>
                <c:pt idx="0">
                  <c:v> Total Spend </c:v>
                </c:pt>
              </c:strCache>
            </c:strRef>
          </c:tx>
          <c:spPr>
            <a:solidFill>
              <a:schemeClr val="accent1"/>
            </a:solidFill>
            <a:ln>
              <a:noFill/>
            </a:ln>
            <a:effectLst/>
          </c:spPr>
          <c:invertIfNegative val="0"/>
          <c:cat>
            <c:strRef>
              <c:f>Insights!$A$4:$A$11</c:f>
              <c:strCache>
                <c:ptCount val="8"/>
                <c:pt idx="0">
                  <c:v>blogger</c:v>
                </c:pt>
                <c:pt idx="1">
                  <c:v>retargeting</c:v>
                </c:pt>
                <c:pt idx="2">
                  <c:v>hot</c:v>
                </c:pt>
                <c:pt idx="3">
                  <c:v>tier1</c:v>
                </c:pt>
                <c:pt idx="4">
                  <c:v>partner</c:v>
                </c:pt>
                <c:pt idx="5">
                  <c:v>tier2</c:v>
                </c:pt>
                <c:pt idx="6">
                  <c:v>wide</c:v>
                </c:pt>
                <c:pt idx="7">
                  <c:v>lal</c:v>
                </c:pt>
              </c:strCache>
            </c:strRef>
          </c:cat>
          <c:val>
            <c:numRef>
              <c:f>Insights!$B$4:$B$11</c:f>
              <c:numCache>
                <c:formatCode>_-[$₦-470]* #,##0.00_-;\-[$₦-470]* #,##0.00_-;_-[$₦-470]* "-"??_-;_-@_-</c:formatCode>
                <c:ptCount val="8"/>
                <c:pt idx="0">
                  <c:v>8305304.0800000001</c:v>
                </c:pt>
                <c:pt idx="1">
                  <c:v>266466.22000000003</c:v>
                </c:pt>
                <c:pt idx="2">
                  <c:v>1199998.7599999998</c:v>
                </c:pt>
                <c:pt idx="3">
                  <c:v>5130070.7299999995</c:v>
                </c:pt>
                <c:pt idx="4">
                  <c:v>5026674.7600000016</c:v>
                </c:pt>
                <c:pt idx="5">
                  <c:v>5760024.7200000016</c:v>
                </c:pt>
                <c:pt idx="6">
                  <c:v>2260401.3100000005</c:v>
                </c:pt>
                <c:pt idx="7">
                  <c:v>2641939.2399999998</c:v>
                </c:pt>
              </c:numCache>
            </c:numRef>
          </c:val>
          <c:extLst>
            <c:ext xmlns:c16="http://schemas.microsoft.com/office/drawing/2014/chart" uri="{C3380CC4-5D6E-409C-BE32-E72D297353CC}">
              <c16:uniqueId val="{00000000-A49B-4E00-870D-2DBA5F53AD09}"/>
            </c:ext>
          </c:extLst>
        </c:ser>
        <c:ser>
          <c:idx val="1"/>
          <c:order val="1"/>
          <c:tx>
            <c:strRef>
              <c:f>Insights!$C$3</c:f>
              <c:strCache>
                <c:ptCount val="1"/>
                <c:pt idx="0">
                  <c:v> Total Revenue </c:v>
                </c:pt>
              </c:strCache>
            </c:strRef>
          </c:tx>
          <c:spPr>
            <a:solidFill>
              <a:schemeClr val="accent2"/>
            </a:solidFill>
            <a:ln>
              <a:noFill/>
            </a:ln>
            <a:effectLst/>
          </c:spPr>
          <c:invertIfNegative val="0"/>
          <c:cat>
            <c:strRef>
              <c:f>Insights!$A$4:$A$11</c:f>
              <c:strCache>
                <c:ptCount val="8"/>
                <c:pt idx="0">
                  <c:v>blogger</c:v>
                </c:pt>
                <c:pt idx="1">
                  <c:v>retargeting</c:v>
                </c:pt>
                <c:pt idx="2">
                  <c:v>hot</c:v>
                </c:pt>
                <c:pt idx="3">
                  <c:v>tier1</c:v>
                </c:pt>
                <c:pt idx="4">
                  <c:v>partner</c:v>
                </c:pt>
                <c:pt idx="5">
                  <c:v>tier2</c:v>
                </c:pt>
                <c:pt idx="6">
                  <c:v>wide</c:v>
                </c:pt>
                <c:pt idx="7">
                  <c:v>lal</c:v>
                </c:pt>
              </c:strCache>
            </c:strRef>
          </c:cat>
          <c:val>
            <c:numRef>
              <c:f>Insights!$C$4:$C$11</c:f>
              <c:numCache>
                <c:formatCode>_-[$₦-470]* #,##0.00_-;\-[$₦-470]* #,##0.00_-;_-[$₦-470]* "-"??_-;_-@_-</c:formatCode>
                <c:ptCount val="8"/>
                <c:pt idx="0">
                  <c:v>21119887</c:v>
                </c:pt>
                <c:pt idx="1">
                  <c:v>536919</c:v>
                </c:pt>
                <c:pt idx="2">
                  <c:v>2205747</c:v>
                </c:pt>
                <c:pt idx="3">
                  <c:v>6940536</c:v>
                </c:pt>
                <c:pt idx="4">
                  <c:v>6152960</c:v>
                </c:pt>
                <c:pt idx="5">
                  <c:v>4133766</c:v>
                </c:pt>
                <c:pt idx="6">
                  <c:v>1499318</c:v>
                </c:pt>
                <c:pt idx="7">
                  <c:v>300233</c:v>
                </c:pt>
              </c:numCache>
            </c:numRef>
          </c:val>
          <c:extLst>
            <c:ext xmlns:c16="http://schemas.microsoft.com/office/drawing/2014/chart" uri="{C3380CC4-5D6E-409C-BE32-E72D297353CC}">
              <c16:uniqueId val="{00000001-A49B-4E00-870D-2DBA5F53AD09}"/>
            </c:ext>
          </c:extLst>
        </c:ser>
        <c:ser>
          <c:idx val="2"/>
          <c:order val="2"/>
          <c:tx>
            <c:strRef>
              <c:f>Insights!$D$3</c:f>
              <c:strCache>
                <c:ptCount val="1"/>
                <c:pt idx="0">
                  <c:v>Orders </c:v>
                </c:pt>
              </c:strCache>
            </c:strRef>
          </c:tx>
          <c:spPr>
            <a:solidFill>
              <a:schemeClr val="accent3"/>
            </a:solidFill>
            <a:ln>
              <a:noFill/>
            </a:ln>
            <a:effectLst/>
          </c:spPr>
          <c:invertIfNegative val="0"/>
          <c:cat>
            <c:strRef>
              <c:f>Insights!$A$4:$A$11</c:f>
              <c:strCache>
                <c:ptCount val="8"/>
                <c:pt idx="0">
                  <c:v>blogger</c:v>
                </c:pt>
                <c:pt idx="1">
                  <c:v>retargeting</c:v>
                </c:pt>
                <c:pt idx="2">
                  <c:v>hot</c:v>
                </c:pt>
                <c:pt idx="3">
                  <c:v>tier1</c:v>
                </c:pt>
                <c:pt idx="4">
                  <c:v>partner</c:v>
                </c:pt>
                <c:pt idx="5">
                  <c:v>tier2</c:v>
                </c:pt>
                <c:pt idx="6">
                  <c:v>wide</c:v>
                </c:pt>
                <c:pt idx="7">
                  <c:v>lal</c:v>
                </c:pt>
              </c:strCache>
            </c:strRef>
          </c:cat>
          <c:val>
            <c:numRef>
              <c:f>Insights!$D$4:$D$11</c:f>
              <c:numCache>
                <c:formatCode>General</c:formatCode>
                <c:ptCount val="8"/>
                <c:pt idx="0">
                  <c:v>3014</c:v>
                </c:pt>
                <c:pt idx="1">
                  <c:v>108</c:v>
                </c:pt>
                <c:pt idx="2">
                  <c:v>281</c:v>
                </c:pt>
                <c:pt idx="3">
                  <c:v>1232</c:v>
                </c:pt>
                <c:pt idx="4">
                  <c:v>1566</c:v>
                </c:pt>
                <c:pt idx="5">
                  <c:v>1001</c:v>
                </c:pt>
                <c:pt idx="6">
                  <c:v>547</c:v>
                </c:pt>
                <c:pt idx="7">
                  <c:v>294</c:v>
                </c:pt>
              </c:numCache>
            </c:numRef>
          </c:val>
          <c:extLst>
            <c:ext xmlns:c16="http://schemas.microsoft.com/office/drawing/2014/chart" uri="{C3380CC4-5D6E-409C-BE32-E72D297353CC}">
              <c16:uniqueId val="{00000002-A49B-4E00-870D-2DBA5F53AD09}"/>
            </c:ext>
          </c:extLst>
        </c:ser>
        <c:ser>
          <c:idx val="3"/>
          <c:order val="3"/>
          <c:tx>
            <c:strRef>
              <c:f>Insights!$E$3</c:f>
              <c:strCache>
                <c:ptCount val="1"/>
                <c:pt idx="0">
                  <c:v>ROMI</c:v>
                </c:pt>
              </c:strCache>
            </c:strRef>
          </c:tx>
          <c:spPr>
            <a:solidFill>
              <a:schemeClr val="accent4"/>
            </a:solidFill>
            <a:ln>
              <a:noFill/>
            </a:ln>
            <a:effectLst/>
          </c:spPr>
          <c:invertIfNegative val="0"/>
          <c:cat>
            <c:strRef>
              <c:f>Insights!$A$4:$A$11</c:f>
              <c:strCache>
                <c:ptCount val="8"/>
                <c:pt idx="0">
                  <c:v>blogger</c:v>
                </c:pt>
                <c:pt idx="1">
                  <c:v>retargeting</c:v>
                </c:pt>
                <c:pt idx="2">
                  <c:v>hot</c:v>
                </c:pt>
                <c:pt idx="3">
                  <c:v>tier1</c:v>
                </c:pt>
                <c:pt idx="4">
                  <c:v>partner</c:v>
                </c:pt>
                <c:pt idx="5">
                  <c:v>tier2</c:v>
                </c:pt>
                <c:pt idx="6">
                  <c:v>wide</c:v>
                </c:pt>
                <c:pt idx="7">
                  <c:v>lal</c:v>
                </c:pt>
              </c:strCache>
            </c:strRef>
          </c:cat>
          <c:val>
            <c:numRef>
              <c:f>Insights!$E$4:$E$11</c:f>
              <c:numCache>
                <c:formatCode>0.00</c:formatCode>
                <c:ptCount val="8"/>
                <c:pt idx="0">
                  <c:v>2.5429396439389609</c:v>
                </c:pt>
                <c:pt idx="1">
                  <c:v>2.0149608456936865</c:v>
                </c:pt>
                <c:pt idx="2">
                  <c:v>1.838124399395213</c:v>
                </c:pt>
                <c:pt idx="3">
                  <c:v>1.352912340840182</c:v>
                </c:pt>
                <c:pt idx="4">
                  <c:v>1.2240616896407275</c:v>
                </c:pt>
                <c:pt idx="5">
                  <c:v>0.71766462835596978</c:v>
                </c:pt>
                <c:pt idx="6">
                  <c:v>0.66329726202467987</c:v>
                </c:pt>
                <c:pt idx="7">
                  <c:v>0.11364114490384723</c:v>
                </c:pt>
              </c:numCache>
            </c:numRef>
          </c:val>
          <c:extLst>
            <c:ext xmlns:c16="http://schemas.microsoft.com/office/drawing/2014/chart" uri="{C3380CC4-5D6E-409C-BE32-E72D297353CC}">
              <c16:uniqueId val="{00000003-A49B-4E00-870D-2DBA5F53AD09}"/>
            </c:ext>
          </c:extLst>
        </c:ser>
        <c:ser>
          <c:idx val="4"/>
          <c:order val="4"/>
          <c:tx>
            <c:strRef>
              <c:f>Insights!$F$3</c:f>
              <c:strCache>
                <c:ptCount val="1"/>
                <c:pt idx="0">
                  <c:v>CAC</c:v>
                </c:pt>
              </c:strCache>
            </c:strRef>
          </c:tx>
          <c:spPr>
            <a:solidFill>
              <a:schemeClr val="accent5"/>
            </a:solidFill>
            <a:ln>
              <a:noFill/>
            </a:ln>
            <a:effectLst/>
          </c:spPr>
          <c:invertIfNegative val="0"/>
          <c:cat>
            <c:strRef>
              <c:f>Insights!$A$4:$A$11</c:f>
              <c:strCache>
                <c:ptCount val="8"/>
                <c:pt idx="0">
                  <c:v>blogger</c:v>
                </c:pt>
                <c:pt idx="1">
                  <c:v>retargeting</c:v>
                </c:pt>
                <c:pt idx="2">
                  <c:v>hot</c:v>
                </c:pt>
                <c:pt idx="3">
                  <c:v>tier1</c:v>
                </c:pt>
                <c:pt idx="4">
                  <c:v>partner</c:v>
                </c:pt>
                <c:pt idx="5">
                  <c:v>tier2</c:v>
                </c:pt>
                <c:pt idx="6">
                  <c:v>wide</c:v>
                </c:pt>
                <c:pt idx="7">
                  <c:v>lal</c:v>
                </c:pt>
              </c:strCache>
            </c:strRef>
          </c:cat>
          <c:val>
            <c:numRef>
              <c:f>Insights!$F$4:$F$11</c:f>
              <c:numCache>
                <c:formatCode>#,##0.00</c:formatCode>
                <c:ptCount val="8"/>
                <c:pt idx="0">
                  <c:v>2755.5753417385536</c:v>
                </c:pt>
                <c:pt idx="1">
                  <c:v>2467.2798148148149</c:v>
                </c:pt>
                <c:pt idx="2">
                  <c:v>4270.4582206405685</c:v>
                </c:pt>
                <c:pt idx="3">
                  <c:v>4164.0184496753245</c:v>
                </c:pt>
                <c:pt idx="4">
                  <c:v>3209.88171136654</c:v>
                </c:pt>
                <c:pt idx="5">
                  <c:v>5754.2704495504513</c:v>
                </c:pt>
                <c:pt idx="6">
                  <c:v>4132.3607129798911</c:v>
                </c:pt>
                <c:pt idx="7">
                  <c:v>8986.1878911564618</c:v>
                </c:pt>
              </c:numCache>
            </c:numRef>
          </c:val>
          <c:extLst>
            <c:ext xmlns:c16="http://schemas.microsoft.com/office/drawing/2014/chart" uri="{C3380CC4-5D6E-409C-BE32-E72D297353CC}">
              <c16:uniqueId val="{00000004-A49B-4E00-870D-2DBA5F53AD09}"/>
            </c:ext>
          </c:extLst>
        </c:ser>
        <c:dLbls>
          <c:showLegendKey val="0"/>
          <c:showVal val="0"/>
          <c:showCatName val="0"/>
          <c:showSerName val="0"/>
          <c:showPercent val="0"/>
          <c:showBubbleSize val="0"/>
        </c:dLbls>
        <c:gapWidth val="219"/>
        <c:overlap val="-27"/>
        <c:axId val="1604937680"/>
        <c:axId val="1607542608"/>
      </c:barChart>
      <c:catAx>
        <c:axId val="160493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7542608"/>
        <c:crosses val="autoZero"/>
        <c:auto val="1"/>
        <c:lblAlgn val="ctr"/>
        <c:lblOffset val="100"/>
        <c:noMultiLvlLbl val="0"/>
      </c:catAx>
      <c:valAx>
        <c:axId val="160754260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49376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[Digital_Marketing_Analysis.xlsx]Pivot_Table!PivotTable1</c:name>
    <c:fmtId val="3"/>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Category by Revenue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2">
                <a:lumMod val="75000"/>
              </a:schemeClr>
            </a:solidFill>
            <a:ln>
              <a:noFill/>
            </a:ln>
            <a:effectLst/>
          </c:spPr>
          <c:invertIfNegative val="0"/>
          <c:cat>
            <c:strRef>
              <c:f>Pivot_Table!$A$4:$A$8</c:f>
              <c:strCache>
                <c:ptCount val="4"/>
                <c:pt idx="0">
                  <c:v>influencer</c:v>
                </c:pt>
                <c:pt idx="1">
                  <c:v>social</c:v>
                </c:pt>
                <c:pt idx="2">
                  <c:v>media</c:v>
                </c:pt>
                <c:pt idx="3">
                  <c:v>search</c:v>
                </c:pt>
              </c:strCache>
            </c:strRef>
          </c:cat>
          <c:val>
            <c:numRef>
              <c:f>Pivot_Table!$B$4:$B$8</c:f>
              <c:numCache>
                <c:formatCode>_-[$₦-470]* #,##0.00_-;\-[$₦-470]* #,##0.00_-;_-[$₦-470]* "-"??_-;_-@_-</c:formatCode>
                <c:ptCount val="4"/>
                <c:pt idx="0">
                  <c:v>21119887</c:v>
                </c:pt>
                <c:pt idx="1">
                  <c:v>11911454</c:v>
                </c:pt>
                <c:pt idx="2">
                  <c:v>6152960</c:v>
                </c:pt>
                <c:pt idx="3">
                  <c:v>3705065</c:v>
                </c:pt>
              </c:numCache>
            </c:numRef>
          </c:val>
          <c:extLst>
            <c:ext xmlns:c16="http://schemas.microsoft.com/office/drawing/2014/chart" uri="{C3380CC4-5D6E-409C-BE32-E72D297353CC}">
              <c16:uniqueId val="{00000000-2266-4E7C-911E-A470424C232E}"/>
            </c:ext>
          </c:extLst>
        </c:ser>
        <c:dLbls>
          <c:showLegendKey val="0"/>
          <c:showVal val="0"/>
          <c:showCatName val="0"/>
          <c:showSerName val="0"/>
          <c:showPercent val="0"/>
          <c:showBubbleSize val="0"/>
        </c:dLbls>
        <c:gapWidth val="219"/>
        <c:overlap val="-27"/>
        <c:axId val="1602655648"/>
        <c:axId val="1607530608"/>
      </c:barChart>
      <c:catAx>
        <c:axId val="160265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30608"/>
        <c:crosses val="autoZero"/>
        <c:auto val="1"/>
        <c:lblAlgn val="ctr"/>
        <c:lblOffset val="100"/>
        <c:noMultiLvlLbl val="0"/>
      </c:catAx>
      <c:valAx>
        <c:axId val="160753060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265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a:outerShdw blurRad="50800" dist="38100" dir="5400000" algn="t" rotWithShape="0">
        <a:srgbClr val="C00000">
          <a:alpha val="40000"/>
        </a:srgbClr>
      </a:outerShdw>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[Digital_Marketing_Analysis.xlsx]Pivot_Table!PivotTable2</c:name>
    <c:fmtId val="1"/>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Weedays</a:t>
            </a:r>
            <a:r>
              <a:rPr lang="en-US" baseline="0"/>
              <a:t> by Revenue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Pivot_Table!$B$13</c:f>
              <c:strCache>
                <c:ptCount val="1"/>
                <c:pt idx="0">
                  <c:v>Total</c:v>
                </c:pt>
              </c:strCache>
            </c:strRef>
          </c:tx>
          <c:spPr>
            <a:ln w="28575" cap="rnd">
              <a:solidFill>
                <a:schemeClr val="accent2">
                  <a:lumMod val="75000"/>
                </a:schemeClr>
              </a:solidFill>
              <a:round/>
            </a:ln>
            <a:effectLst/>
          </c:spPr>
          <c:marker>
            <c:symbol val="none"/>
          </c:marker>
          <c:cat>
            <c:strRef>
              <c:f>Pivot_Table!$A$14:$A$21</c:f>
              <c:strCache>
                <c:ptCount val="7"/>
                <c:pt idx="0">
                  <c:v>Fri</c:v>
                </c:pt>
                <c:pt idx="1">
                  <c:v>Sat</c:v>
                </c:pt>
                <c:pt idx="2">
                  <c:v>Wed</c:v>
                </c:pt>
                <c:pt idx="3">
                  <c:v>Thu</c:v>
                </c:pt>
                <c:pt idx="4">
                  <c:v>Tue</c:v>
                </c:pt>
                <c:pt idx="5">
                  <c:v>Mon</c:v>
                </c:pt>
                <c:pt idx="6">
                  <c:v>Sun</c:v>
                </c:pt>
              </c:strCache>
            </c:strRef>
          </c:cat>
          <c:val>
            <c:numRef>
              <c:f>Pivot_Table!$B$14:$B$21</c:f>
              <c:numCache>
                <c:formatCode>_-[$₦-470]* #,##0.00_-;\-[$₦-470]* #,##0.00_-;_-[$₦-470]* "-"??_-;_-@_-</c:formatCode>
                <c:ptCount val="7"/>
                <c:pt idx="0">
                  <c:v>9574175</c:v>
                </c:pt>
                <c:pt idx="1">
                  <c:v>8523402</c:v>
                </c:pt>
                <c:pt idx="2">
                  <c:v>6973795</c:v>
                </c:pt>
                <c:pt idx="3">
                  <c:v>5955971</c:v>
                </c:pt>
                <c:pt idx="4">
                  <c:v>4537535</c:v>
                </c:pt>
                <c:pt idx="5">
                  <c:v>4179657</c:v>
                </c:pt>
                <c:pt idx="6">
                  <c:v>3144831</c:v>
                </c:pt>
              </c:numCache>
            </c:numRef>
          </c:val>
          <c:smooth val="0"/>
          <c:extLst>
            <c:ext xmlns:c16="http://schemas.microsoft.com/office/drawing/2014/chart" uri="{C3380CC4-5D6E-409C-BE32-E72D297353CC}">
              <c16:uniqueId val="{00000000-796A-483A-A2E1-BBCCF0CDFA83}"/>
            </c:ext>
          </c:extLst>
        </c:ser>
        <c:dLbls>
          <c:showLegendKey val="0"/>
          <c:showVal val="0"/>
          <c:showCatName val="0"/>
          <c:showSerName val="0"/>
          <c:showPercent val="0"/>
          <c:showBubbleSize val="0"/>
        </c:dLbls>
        <c:smooth val="0"/>
        <c:axId val="1567853392"/>
        <c:axId val="1607491728"/>
      </c:lineChart>
      <c:catAx>
        <c:axId val="15678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491728"/>
        <c:crosses val="autoZero"/>
        <c:auto val="1"/>
        <c:lblAlgn val="ctr"/>
        <c:lblOffset val="100"/>
        <c:noMultiLvlLbl val="0"/>
      </c:catAx>
      <c:valAx>
        <c:axId val="160749172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56785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a:outerShdw blurRad="50800" dist="38100" dir="5400000" algn="t" rotWithShape="0">
        <a:srgbClr val="C00000">
          <a:alpha val="40000"/>
        </a:srgbClr>
      </a:outerShdw>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[Digital_Marketing_Analysis.xlsx]Pivot_Table!PivotTable3</c:name>
    <c:fmtId val="1"/>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Campaign</a:t>
            </a:r>
            <a:r>
              <a:rPr lang="en-US" baseline="0"/>
              <a:t> by Revenue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Pivot_Table!$B$27</c:f>
              <c:strCache>
                <c:ptCount val="1"/>
                <c:pt idx="0">
                  <c:v>Total</c:v>
                </c:pt>
              </c:strCache>
            </c:strRef>
          </c:tx>
          <c:spPr>
            <a:solidFill>
              <a:schemeClr val="accent2">
                <a:lumMod val="75000"/>
              </a:schemeClr>
            </a:solidFill>
            <a:ln>
              <a:noFill/>
            </a:ln>
            <a:effectLst/>
          </c:spPr>
          <c:invertIfNegative val="0"/>
          <c:cat>
            <c:strRef>
              <c:f>Pivot_Table!$A$28:$A$33</c:f>
              <c:strCache>
                <c:ptCount val="5"/>
                <c:pt idx="0">
                  <c:v>youtube</c:v>
                </c:pt>
                <c:pt idx="1">
                  <c:v>instagram</c:v>
                </c:pt>
                <c:pt idx="2">
                  <c:v>facebook</c:v>
                </c:pt>
                <c:pt idx="3">
                  <c:v>banner</c:v>
                </c:pt>
                <c:pt idx="4">
                  <c:v>google</c:v>
                </c:pt>
              </c:strCache>
            </c:strRef>
          </c:cat>
          <c:val>
            <c:numRef>
              <c:f>Pivot_Table!$B$28:$B$33</c:f>
              <c:numCache>
                <c:formatCode>_-[$₦-470]* #,##0.00_-;\-[$₦-470]* #,##0.00_-;_-[$₦-470]* "-"??_-;_-@_-</c:formatCode>
                <c:ptCount val="5"/>
                <c:pt idx="0">
                  <c:v>15311433</c:v>
                </c:pt>
                <c:pt idx="1">
                  <c:v>11023038</c:v>
                </c:pt>
                <c:pt idx="2">
                  <c:v>6696870</c:v>
                </c:pt>
                <c:pt idx="3">
                  <c:v>6152960</c:v>
                </c:pt>
                <c:pt idx="4">
                  <c:v>3705065</c:v>
                </c:pt>
              </c:numCache>
            </c:numRef>
          </c:val>
          <c:extLst>
            <c:ext xmlns:c16="http://schemas.microsoft.com/office/drawing/2014/chart" uri="{C3380CC4-5D6E-409C-BE32-E72D297353CC}">
              <c16:uniqueId val="{00000000-7E29-4638-88BC-DAD1D54F2AE0}"/>
            </c:ext>
          </c:extLst>
        </c:ser>
        <c:dLbls>
          <c:showLegendKey val="0"/>
          <c:showVal val="0"/>
          <c:showCatName val="0"/>
          <c:showSerName val="0"/>
          <c:showPercent val="0"/>
          <c:showBubbleSize val="0"/>
        </c:dLbls>
        <c:gapWidth val="219"/>
        <c:overlap val="-27"/>
        <c:axId val="2146432527"/>
        <c:axId val="1607545968"/>
      </c:barChart>
      <c:catAx>
        <c:axId val="21464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45968"/>
        <c:crosses val="autoZero"/>
        <c:auto val="1"/>
        <c:lblAlgn val="ctr"/>
        <c:lblOffset val="100"/>
        <c:noMultiLvlLbl val="0"/>
      </c:catAx>
      <c:valAx>
        <c:axId val="160754596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214643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a:outerShdw blurRad="50800" dist="38100" dir="5400000" algn="t" rotWithShape="0">
        <a:srgbClr val="C00000">
          <a:alpha val="40000"/>
        </a:srgbClr>
      </a:outerShdw>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[Digital_Marketing_Analysis.xlsx]Pivot_Table!PivotTable4</c:name>
    <c:fmtId val="1"/>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Tier</a:t>
            </a:r>
            <a:r>
              <a:rPr lang="en-US" baseline="0"/>
              <a:t> by Revenue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Pivot_Table!$B$40</c:f>
              <c:strCache>
                <c:ptCount val="1"/>
                <c:pt idx="0">
                  <c:v>Total</c:v>
                </c:pt>
              </c:strCache>
            </c:strRef>
          </c:tx>
          <c:spPr>
            <a:solidFill>
              <a:schemeClr val="accent2">
                <a:lumMod val="75000"/>
              </a:schemeClr>
            </a:solidFill>
            <a:ln>
              <a:noFill/>
            </a:ln>
            <a:effectLst/>
          </c:spPr>
          <c:invertIfNegative val="0"/>
          <c:cat>
            <c:strRef>
              <c:f>Pivot_Table!$A$41:$A$49</c:f>
              <c:strCache>
                <c:ptCount val="8"/>
                <c:pt idx="0">
                  <c:v>blogger</c:v>
                </c:pt>
                <c:pt idx="1">
                  <c:v>tier1</c:v>
                </c:pt>
                <c:pt idx="2">
                  <c:v>partner</c:v>
                </c:pt>
                <c:pt idx="3">
                  <c:v>tier2</c:v>
                </c:pt>
                <c:pt idx="4">
                  <c:v>hot</c:v>
                </c:pt>
                <c:pt idx="5">
                  <c:v>wide</c:v>
                </c:pt>
                <c:pt idx="6">
                  <c:v>retargeting</c:v>
                </c:pt>
                <c:pt idx="7">
                  <c:v>lal</c:v>
                </c:pt>
              </c:strCache>
            </c:strRef>
          </c:cat>
          <c:val>
            <c:numRef>
              <c:f>Pivot_Table!$B$41:$B$49</c:f>
              <c:numCache>
                <c:formatCode>_-[$₦-470]* #,##0.00_-;\-[$₦-470]* #,##0.00_-;_-[$₦-470]* "-"??_-;_-@_-</c:formatCode>
                <c:ptCount val="8"/>
                <c:pt idx="0">
                  <c:v>21119887</c:v>
                </c:pt>
                <c:pt idx="1">
                  <c:v>6940536</c:v>
                </c:pt>
                <c:pt idx="2">
                  <c:v>6152960</c:v>
                </c:pt>
                <c:pt idx="3">
                  <c:v>4133766</c:v>
                </c:pt>
                <c:pt idx="4">
                  <c:v>2205747</c:v>
                </c:pt>
                <c:pt idx="5">
                  <c:v>1499318</c:v>
                </c:pt>
                <c:pt idx="6">
                  <c:v>536919</c:v>
                </c:pt>
                <c:pt idx="7">
                  <c:v>300233</c:v>
                </c:pt>
              </c:numCache>
            </c:numRef>
          </c:val>
          <c:extLst>
            <c:ext xmlns:c16="http://schemas.microsoft.com/office/drawing/2014/chart" uri="{C3380CC4-5D6E-409C-BE32-E72D297353CC}">
              <c16:uniqueId val="{00000000-CD7D-4C60-B455-3C9ABA2A12A3}"/>
            </c:ext>
          </c:extLst>
        </c:ser>
        <c:dLbls>
          <c:showLegendKey val="0"/>
          <c:showVal val="0"/>
          <c:showCatName val="0"/>
          <c:showSerName val="0"/>
          <c:showPercent val="0"/>
          <c:showBubbleSize val="0"/>
        </c:dLbls>
        <c:gapWidth val="219"/>
        <c:overlap val="-27"/>
        <c:axId val="1567882160"/>
        <c:axId val="1607507088"/>
      </c:barChart>
      <c:catAx>
        <c:axId val="15678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07088"/>
        <c:crosses val="autoZero"/>
        <c:auto val="1"/>
        <c:lblAlgn val="ctr"/>
        <c:lblOffset val="100"/>
        <c:noMultiLvlLbl val="0"/>
      </c:catAx>
      <c:valAx>
        <c:axId val="160750708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5678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a:outerShdw blurRad="50800" dist="38100" dir="5400000" algn="t" rotWithShape="0">
        <a:srgbClr val="C00000">
          <a:alpha val="40000"/>
        </a:srgbClr>
      </a:outerShdw>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[Digital_Marketing_Analysis.xlsx]Pivot_Table!PivotTable5</c:name>
    <c:fmtId val="0"/>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Days</a:t>
            </a:r>
            <a:r>
              <a:rPr lang="en-US" baseline="0"/>
              <a:t> by Revenue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Pivot_Table!$B$55</c:f>
              <c:strCache>
                <c:ptCount val="1"/>
                <c:pt idx="0">
                  <c:v>Total</c:v>
                </c:pt>
              </c:strCache>
            </c:strRef>
          </c:tx>
          <c:spPr>
            <a:ln w="28575" cap="rnd">
              <a:solidFill>
                <a:schemeClr val="accent2">
                  <a:lumMod val="75000"/>
                </a:schemeClr>
              </a:solidFill>
              <a:round/>
            </a:ln>
            <a:effectLst/>
          </c:spPr>
          <c:marker>
            <c:symbol val="none"/>
          </c:marker>
          <c:cat>
            <c:strRef>
              <c:f>Pivot_Table!$A$56:$A$58</c:f>
              <c:strCache>
                <c:ptCount val="2"/>
                <c:pt idx="0">
                  <c:v>weekday</c:v>
                </c:pt>
                <c:pt idx="1">
                  <c:v>weekend</c:v>
                </c:pt>
              </c:strCache>
            </c:strRef>
          </c:cat>
          <c:val>
            <c:numRef>
              <c:f>Pivot_Table!$B$56:$B$58</c:f>
              <c:numCache>
                <c:formatCode>_-[$₦-470]* #,##0.00_-;\-[$₦-470]* #,##0.00_-;_-[$₦-470]* "-"??_-;_-@_-</c:formatCode>
                <c:ptCount val="2"/>
                <c:pt idx="0">
                  <c:v>31221133</c:v>
                </c:pt>
                <c:pt idx="1">
                  <c:v>11668233</c:v>
                </c:pt>
              </c:numCache>
            </c:numRef>
          </c:val>
          <c:smooth val="0"/>
          <c:extLst>
            <c:ext xmlns:c16="http://schemas.microsoft.com/office/drawing/2014/chart" uri="{C3380CC4-5D6E-409C-BE32-E72D297353CC}">
              <c16:uniqueId val="{00000000-D9D3-4759-A585-9744629D4A25}"/>
            </c:ext>
          </c:extLst>
        </c:ser>
        <c:dLbls>
          <c:showLegendKey val="0"/>
          <c:showVal val="0"/>
          <c:showCatName val="0"/>
          <c:showSerName val="0"/>
          <c:showPercent val="0"/>
          <c:showBubbleSize val="0"/>
        </c:dLbls>
        <c:smooth val="0"/>
        <c:axId val="1604988256"/>
        <c:axId val="1607546928"/>
      </c:lineChart>
      <c:catAx>
        <c:axId val="160498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46928"/>
        <c:crosses val="autoZero"/>
        <c:auto val="1"/>
        <c:lblAlgn val="ctr"/>
        <c:lblOffset val="100"/>
        <c:noMultiLvlLbl val="0"/>
      </c:catAx>
      <c:valAx>
        <c:axId val="160754692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4988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C00000"/>
      </a:solidFill>
      <a:round/>
    </a:ln>
    <a:effectLst>
      <a:outerShdw blurRad="50800" dist="38100" dir="5400000" algn="t" rotWithShape="0">
        <a:srgbClr val="C00000">
          <a:alpha val="40000"/>
        </a:srgbClr>
      </a:outerShdw>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[Digital_Marketing_Analysis.xlsx]Pivot_Table!PivotTable4</c:name>
    <c:fmtId val="3"/>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Tier</a:t>
            </a:r>
            <a:r>
              <a:rPr lang="en-US" baseline="0"/>
              <a:t> by Revenue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43146467071157"/>
          <c:y val="0.12979047705327174"/>
          <c:w val="0.60950325515862114"/>
          <c:h val="0.68826426387779682"/>
        </c:manualLayout>
      </c:layout>
      <c:barChart>
        <c:barDir val="col"/>
        <c:grouping val="clustered"/>
        <c:varyColors val="0"/>
        <c:ser>
          <c:idx val="0"/>
          <c:order val="0"/>
          <c:tx>
            <c:strRef>
              <c:f>Pivot_Table!$B$40</c:f>
              <c:strCache>
                <c:ptCount val="1"/>
                <c:pt idx="0">
                  <c:v>Total</c:v>
                </c:pt>
              </c:strCache>
            </c:strRef>
          </c:tx>
          <c:spPr>
            <a:solidFill>
              <a:schemeClr val="accent2">
                <a:lumMod val="75000"/>
              </a:schemeClr>
            </a:solidFill>
            <a:ln>
              <a:noFill/>
            </a:ln>
            <a:effectLst/>
          </c:spPr>
          <c:invertIfNegative val="0"/>
          <c:cat>
            <c:strRef>
              <c:f>Pivot_Table!$A$41:$A$49</c:f>
              <c:strCache>
                <c:ptCount val="8"/>
                <c:pt idx="0">
                  <c:v>blogger</c:v>
                </c:pt>
                <c:pt idx="1">
                  <c:v>tier1</c:v>
                </c:pt>
                <c:pt idx="2">
                  <c:v>partner</c:v>
                </c:pt>
                <c:pt idx="3">
                  <c:v>tier2</c:v>
                </c:pt>
                <c:pt idx="4">
                  <c:v>hot</c:v>
                </c:pt>
                <c:pt idx="5">
                  <c:v>wide</c:v>
                </c:pt>
                <c:pt idx="6">
                  <c:v>retargeting</c:v>
                </c:pt>
                <c:pt idx="7">
                  <c:v>lal</c:v>
                </c:pt>
              </c:strCache>
            </c:strRef>
          </c:cat>
          <c:val>
            <c:numRef>
              <c:f>Pivot_Table!$B$41:$B$49</c:f>
              <c:numCache>
                <c:formatCode>_-[$₦-470]* #,##0.00_-;\-[$₦-470]* #,##0.00_-;_-[$₦-470]* "-"??_-;_-@_-</c:formatCode>
                <c:ptCount val="8"/>
                <c:pt idx="0">
                  <c:v>21119887</c:v>
                </c:pt>
                <c:pt idx="1">
                  <c:v>6940536</c:v>
                </c:pt>
                <c:pt idx="2">
                  <c:v>6152960</c:v>
                </c:pt>
                <c:pt idx="3">
                  <c:v>4133766</c:v>
                </c:pt>
                <c:pt idx="4">
                  <c:v>2205747</c:v>
                </c:pt>
                <c:pt idx="5">
                  <c:v>1499318</c:v>
                </c:pt>
                <c:pt idx="6">
                  <c:v>536919</c:v>
                </c:pt>
                <c:pt idx="7">
                  <c:v>300233</c:v>
                </c:pt>
              </c:numCache>
            </c:numRef>
          </c:val>
          <c:extLst>
            <c:ext xmlns:c16="http://schemas.microsoft.com/office/drawing/2014/chart" uri="{C3380CC4-5D6E-409C-BE32-E72D297353CC}">
              <c16:uniqueId val="{00000000-1CB0-49BF-B48C-28184EDC9995}"/>
            </c:ext>
          </c:extLst>
        </c:ser>
        <c:dLbls>
          <c:dLblPos val="outEnd"/>
          <c:showLegendKey val="0"/>
          <c:showVal val="0"/>
          <c:showCatName val="0"/>
          <c:showSerName val="0"/>
          <c:showPercent val="0"/>
          <c:showBubbleSize val="0"/>
        </c:dLbls>
        <c:gapWidth val="219"/>
        <c:overlap val="-27"/>
        <c:axId val="1567882160"/>
        <c:axId val="1607507088"/>
      </c:barChart>
      <c:catAx>
        <c:axId val="15678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07088"/>
        <c:crosses val="autoZero"/>
        <c:auto val="1"/>
        <c:lblAlgn val="ctr"/>
        <c:lblOffset val="100"/>
        <c:noMultiLvlLbl val="0"/>
      </c:catAx>
      <c:valAx>
        <c:axId val="160750708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567882160"/>
        <c:crosses val="autoZero"/>
        <c:crossBetween val="between"/>
      </c:val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27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[Digital_Marketing_Analysis.xlsx]Pivot_Table!PivotTable3</c:name>
    <c:fmtId val="3"/>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Campaign</a:t>
            </a:r>
            <a:r>
              <a:rPr lang="en-US" baseline="0"/>
              <a:t> by Revenue</a:t>
            </a:r>
          </a:p>
        </c:rich>
      </c:tx>
      <c:layout>
        <c:manualLayout>
          <c:xMode val="edge"/>
          <c:yMode val="edge"/>
          <c:x val="0.26252668526206457"/>
          <c:y val="0"/>
        </c:manualLayout>
      </c:layout>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Pivot_Table!$B$27</c:f>
              <c:strCache>
                <c:ptCount val="1"/>
                <c:pt idx="0">
                  <c:v>Total</c:v>
                </c:pt>
              </c:strCache>
            </c:strRef>
          </c:tx>
          <c:spPr>
            <a:solidFill>
              <a:schemeClr val="accent2">
                <a:lumMod val="75000"/>
              </a:schemeClr>
            </a:solidFill>
            <a:ln>
              <a:noFill/>
            </a:ln>
            <a:effectLst/>
          </c:spPr>
          <c:invertIfNegative val="0"/>
          <c:cat>
            <c:strRef>
              <c:f>Pivot_Table!$A$28:$A$33</c:f>
              <c:strCache>
                <c:ptCount val="5"/>
                <c:pt idx="0">
                  <c:v>youtube</c:v>
                </c:pt>
                <c:pt idx="1">
                  <c:v>instagram</c:v>
                </c:pt>
                <c:pt idx="2">
                  <c:v>facebook</c:v>
                </c:pt>
                <c:pt idx="3">
                  <c:v>banner</c:v>
                </c:pt>
                <c:pt idx="4">
                  <c:v>google</c:v>
                </c:pt>
              </c:strCache>
            </c:strRef>
          </c:cat>
          <c:val>
            <c:numRef>
              <c:f>Pivot_Table!$B$28:$B$33</c:f>
              <c:numCache>
                <c:formatCode>_-[$₦-470]* #,##0.00_-;\-[$₦-470]* #,##0.00_-;_-[$₦-470]* "-"??_-;_-@_-</c:formatCode>
                <c:ptCount val="5"/>
                <c:pt idx="0">
                  <c:v>15311433</c:v>
                </c:pt>
                <c:pt idx="1">
                  <c:v>11023038</c:v>
                </c:pt>
                <c:pt idx="2">
                  <c:v>6696870</c:v>
                </c:pt>
                <c:pt idx="3">
                  <c:v>6152960</c:v>
                </c:pt>
                <c:pt idx="4">
                  <c:v>3705065</c:v>
                </c:pt>
              </c:numCache>
            </c:numRef>
          </c:val>
          <c:extLst>
            <c:ext xmlns:c16="http://schemas.microsoft.com/office/drawing/2014/chart" uri="{C3380CC4-5D6E-409C-BE32-E72D297353CC}">
              <c16:uniqueId val="{00000000-E75F-49A1-B6AE-44131AF4C61F}"/>
            </c:ext>
          </c:extLst>
        </c:ser>
        <c:dLbls>
          <c:showLegendKey val="0"/>
          <c:showVal val="0"/>
          <c:showCatName val="0"/>
          <c:showSerName val="0"/>
          <c:showPercent val="0"/>
          <c:showBubbleSize val="0"/>
        </c:dLbls>
        <c:gapWidth val="219"/>
        <c:overlap val="-27"/>
        <c:axId val="2146432527"/>
        <c:axId val="1607545968"/>
      </c:barChart>
      <c:catAx>
        <c:axId val="2146432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45968"/>
        <c:crosses val="autoZero"/>
        <c:auto val="1"/>
        <c:lblAlgn val="ctr"/>
        <c:lblOffset val="100"/>
        <c:noMultiLvlLbl val="0"/>
      </c:catAx>
      <c:valAx>
        <c:axId val="160754596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2146432527"/>
        <c:crosses val="autoZero"/>
        <c:crossBetween val="between"/>
      </c:valAx>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[Digital_Marketing_Analysis.xlsx]Pivot_Table!PivotTable1</c:name>
    <c:fmtId val="7"/>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Category by Revenue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2">
                <a:lumMod val="75000"/>
              </a:schemeClr>
            </a:solidFill>
            <a:ln>
              <a:noFill/>
            </a:ln>
            <a:effectLst/>
          </c:spPr>
          <c:invertIfNegative val="0"/>
          <c:cat>
            <c:strRef>
              <c:f>Pivot_Table!$A$4:$A$8</c:f>
              <c:strCache>
                <c:ptCount val="4"/>
                <c:pt idx="0">
                  <c:v>influencer</c:v>
                </c:pt>
                <c:pt idx="1">
                  <c:v>social</c:v>
                </c:pt>
                <c:pt idx="2">
                  <c:v>media</c:v>
                </c:pt>
                <c:pt idx="3">
                  <c:v>search</c:v>
                </c:pt>
              </c:strCache>
            </c:strRef>
          </c:cat>
          <c:val>
            <c:numRef>
              <c:f>Pivot_Table!$B$4:$B$8</c:f>
              <c:numCache>
                <c:formatCode>_-[$₦-470]* #,##0.00_-;\-[$₦-470]* #,##0.00_-;_-[$₦-470]* "-"??_-;_-@_-</c:formatCode>
                <c:ptCount val="4"/>
                <c:pt idx="0">
                  <c:v>21119887</c:v>
                </c:pt>
                <c:pt idx="1">
                  <c:v>11911454</c:v>
                </c:pt>
                <c:pt idx="2">
                  <c:v>6152960</c:v>
                </c:pt>
                <c:pt idx="3">
                  <c:v>3705065</c:v>
                </c:pt>
              </c:numCache>
            </c:numRef>
          </c:val>
          <c:extLst>
            <c:ext xmlns:c16="http://schemas.microsoft.com/office/drawing/2014/chart" uri="{C3380CC4-5D6E-409C-BE32-E72D297353CC}">
              <c16:uniqueId val="{00000000-A955-4D4F-A499-421E0A9D4335}"/>
            </c:ext>
          </c:extLst>
        </c:ser>
        <c:dLbls>
          <c:showLegendKey val="0"/>
          <c:showVal val="0"/>
          <c:showCatName val="0"/>
          <c:showSerName val="0"/>
          <c:showPercent val="0"/>
          <c:showBubbleSize val="0"/>
        </c:dLbls>
        <c:gapWidth val="219"/>
        <c:overlap val="-27"/>
        <c:axId val="1602655648"/>
        <c:axId val="1607530608"/>
      </c:barChart>
      <c:catAx>
        <c:axId val="160265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530608"/>
        <c:crosses val="autoZero"/>
        <c:auto val="1"/>
        <c:lblAlgn val="ctr"/>
        <c:lblOffset val="100"/>
        <c:noMultiLvlLbl val="0"/>
      </c:catAx>
      <c:valAx>
        <c:axId val="160753060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2655648"/>
        <c:crosses val="autoZero"/>
        <c:crossBetween val="between"/>
      </c:valAx>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[Digital_Marketing_Analysis.xlsx]Pivot_Table!PivotTable2</c:name>
    <c:fmtId val="7"/>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Weedays</a:t>
            </a:r>
            <a:r>
              <a:rPr lang="en-US" baseline="0"/>
              <a:t> by Revenue</a:t>
            </a:r>
            <a:endParaRPr lang="en-US"/>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Pivot_Table!$B$13</c:f>
              <c:strCache>
                <c:ptCount val="1"/>
                <c:pt idx="0">
                  <c:v>Total</c:v>
                </c:pt>
              </c:strCache>
            </c:strRef>
          </c:tx>
          <c:spPr>
            <a:ln w="28575" cap="rnd">
              <a:solidFill>
                <a:schemeClr val="accent2">
                  <a:lumMod val="75000"/>
                </a:schemeClr>
              </a:solidFill>
              <a:round/>
            </a:ln>
            <a:effectLst/>
          </c:spPr>
          <c:marker>
            <c:symbol val="none"/>
          </c:marker>
          <c:cat>
            <c:strRef>
              <c:f>Pivot_Table!$A$14:$A$21</c:f>
              <c:strCache>
                <c:ptCount val="7"/>
                <c:pt idx="0">
                  <c:v>Fri</c:v>
                </c:pt>
                <c:pt idx="1">
                  <c:v>Sat</c:v>
                </c:pt>
                <c:pt idx="2">
                  <c:v>Wed</c:v>
                </c:pt>
                <c:pt idx="3">
                  <c:v>Thu</c:v>
                </c:pt>
                <c:pt idx="4">
                  <c:v>Tue</c:v>
                </c:pt>
                <c:pt idx="5">
                  <c:v>Mon</c:v>
                </c:pt>
                <c:pt idx="6">
                  <c:v>Sun</c:v>
                </c:pt>
              </c:strCache>
            </c:strRef>
          </c:cat>
          <c:val>
            <c:numRef>
              <c:f>Pivot_Table!$B$14:$B$21</c:f>
              <c:numCache>
                <c:formatCode>_-[$₦-470]* #,##0.00_-;\-[$₦-470]* #,##0.00_-;_-[$₦-470]* "-"??_-;_-@_-</c:formatCode>
                <c:ptCount val="7"/>
                <c:pt idx="0">
                  <c:v>9574175</c:v>
                </c:pt>
                <c:pt idx="1">
                  <c:v>8523402</c:v>
                </c:pt>
                <c:pt idx="2">
                  <c:v>6973795</c:v>
                </c:pt>
                <c:pt idx="3">
                  <c:v>5955971</c:v>
                </c:pt>
                <c:pt idx="4">
                  <c:v>4537535</c:v>
                </c:pt>
                <c:pt idx="5">
                  <c:v>4179657</c:v>
                </c:pt>
                <c:pt idx="6">
                  <c:v>3144831</c:v>
                </c:pt>
              </c:numCache>
            </c:numRef>
          </c:val>
          <c:smooth val="0"/>
          <c:extLst>
            <c:ext xmlns:c16="http://schemas.microsoft.com/office/drawing/2014/chart" uri="{C3380CC4-5D6E-409C-BE32-E72D297353CC}">
              <c16:uniqueId val="{00000000-57A8-4530-A1F7-4C4A2CB68164}"/>
            </c:ext>
          </c:extLst>
        </c:ser>
        <c:dLbls>
          <c:showLegendKey val="0"/>
          <c:showVal val="0"/>
          <c:showCatName val="0"/>
          <c:showSerName val="0"/>
          <c:showPercent val="0"/>
          <c:showBubbleSize val="0"/>
        </c:dLbls>
        <c:smooth val="0"/>
        <c:axId val="1567853392"/>
        <c:axId val="1607491728"/>
      </c:lineChart>
      <c:catAx>
        <c:axId val="156785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607491728"/>
        <c:crosses val="autoZero"/>
        <c:auto val="1"/>
        <c:lblAlgn val="ctr"/>
        <c:lblOffset val="100"/>
        <c:noMultiLvlLbl val="0"/>
      </c:catAx>
      <c:valAx>
        <c:axId val="1607491728"/>
        <c:scaling>
          <c:orientation val="minMax"/>
        </c:scaling>
        <c:delete val="0"/>
        <c:axPos val="l"/>
        <c:majorGridlines>
          <c:spPr>
            <a:ln w="9525" cap="flat" cmpd="sng" algn="ctr">
              <a:solidFill>
                <a:schemeClr val="tx1">
                  <a:lumMod val="15000"/>
                  <a:lumOff val="85000"/>
                </a:schemeClr>
              </a:solidFill>
              <a:round/>
            </a:ln>
            <a:effectLst/>
          </c:spPr>
        </c:majorGridlines>
        <c:numFmt formatCode="_-[$₦-470]* #,##0.00_-;\-[$₦-470]* #,##0.00_-;_-[$₦-470]*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crossAx val="1567853392"/>
        <c:crosses val="autoZero"/>
        <c:crossBetween val="between"/>
      </c:val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[Digital_Marketing_Analysis.xlsx]Pivot_Table!PivotTable5</c:name>
    <c:fmtId val="2"/>
  </c:pivotSource>
  <c:chart>
    <c:title>
      <c:tx>
        <c:rich>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r>
              <a:rPr lang="en-US"/>
              <a:t>Days by Revenue</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Aparajita" panose="02020603050405020304" pitchFamily="18" charset="0"/>
              <a:ea typeface="+mn-ea"/>
              <a:cs typeface="Aparajita"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3491046788647066"/>
                  <c:h val="0.18117300894912752"/>
                </c:manualLayout>
              </c15:layout>
            </c:ext>
          </c:extLst>
        </c:dLbl>
      </c:pivotFmt>
      <c:pivotFmt>
        <c:idx val="4"/>
        <c:spPr>
          <a:solidFill>
            <a:schemeClr val="accent2"/>
          </a:solidFill>
          <a:ln w="19050">
            <a:solidFill>
              <a:schemeClr val="lt1"/>
            </a:solidFill>
          </a:ln>
          <a:effectLst/>
        </c:spPr>
        <c:dLbl>
          <c:idx val="0"/>
          <c:layout>
            <c:manualLayout>
              <c:x val="-5.5205022179088551E-3"/>
              <c:y val="3.9727370745690063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9148124202896"/>
                  <c:h val="0.26737629546524466"/>
                </c:manualLayout>
              </c15:layout>
            </c:ext>
          </c:extLst>
        </c:dLbl>
      </c:pivotFmt>
    </c:pivotFmts>
    <c:plotArea>
      <c:layout/>
      <c:pieChart>
        <c:varyColors val="1"/>
        <c:ser>
          <c:idx val="0"/>
          <c:order val="0"/>
          <c:tx>
            <c:strRef>
              <c:f>Pivot_Table!$B$55</c:f>
              <c:strCache>
                <c:ptCount val="1"/>
                <c:pt idx="0">
                  <c:v>Total</c:v>
                </c:pt>
              </c:strCache>
            </c:strRef>
          </c:tx>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0-D359-47A5-A0E2-9322970610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359-47A5-A0E2-932297061068}"/>
              </c:ext>
            </c:extLst>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33491046788647066"/>
                      <c:h val="0.18117300894912752"/>
                    </c:manualLayout>
                  </c15:layout>
                </c:ext>
                <c:ext xmlns:c16="http://schemas.microsoft.com/office/drawing/2014/chart" uri="{C3380CC4-5D6E-409C-BE32-E72D297353CC}">
                  <c16:uniqueId val="{00000000-D359-47A5-A0E2-932297061068}"/>
                </c:ext>
              </c:extLst>
            </c:dLbl>
            <c:dLbl>
              <c:idx val="1"/>
              <c:layout>
                <c:manualLayout>
                  <c:x val="-5.5205022179088551E-3"/>
                  <c:y val="3.972737074569006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9148124202896"/>
                      <c:h val="0.26737629546524466"/>
                    </c:manualLayout>
                  </c15:layout>
                </c:ext>
                <c:ext xmlns:c16="http://schemas.microsoft.com/office/drawing/2014/chart" uri="{C3380CC4-5D6E-409C-BE32-E72D297353CC}">
                  <c16:uniqueId val="{00000001-D359-47A5-A0E2-932297061068}"/>
                </c:ext>
              </c:extLst>
            </c:dLbl>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Pivot_Table!$A$56:$A$58</c:f>
              <c:strCache>
                <c:ptCount val="2"/>
                <c:pt idx="0">
                  <c:v>weekday</c:v>
                </c:pt>
                <c:pt idx="1">
                  <c:v>weekend</c:v>
                </c:pt>
              </c:strCache>
            </c:strRef>
          </c:cat>
          <c:val>
            <c:numRef>
              <c:f>Pivot_Table!$B$56:$B$58</c:f>
              <c:numCache>
                <c:formatCode>_-[$₦-470]* #,##0.00_-;\-[$₦-470]* #,##0.00_-;_-[$₦-470]* "-"??_-;_-@_-</c:formatCode>
                <c:ptCount val="2"/>
                <c:pt idx="0">
                  <c:v>31221133</c:v>
                </c:pt>
                <c:pt idx="1">
                  <c:v>11668233</c:v>
                </c:pt>
              </c:numCache>
            </c:numRef>
          </c:val>
          <c:extLst>
            <c:ext xmlns:c16="http://schemas.microsoft.com/office/drawing/2014/chart" uri="{C3380CC4-5D6E-409C-BE32-E72D297353CC}">
              <c16:uniqueId val="{00000000-AC26-4052-94B5-8019E6146C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Aparajita" panose="02020603050405020304" pitchFamily="18" charset="0"/>
              <a:ea typeface="+mn-ea"/>
              <a:cs typeface="Aparajita"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solidFill>
            <a:schemeClr val="tx1"/>
          </a:solidFill>
          <a:latin typeface="Aparajita" panose="02020603050405020304" pitchFamily="18" charset="0"/>
          <a:cs typeface="Aparajita"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2.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1.xml"/><Relationship Id="rId16" Type="http://schemas.openxmlformats.org/officeDocument/2006/relationships/image" Target="../media/image11.png"/><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4.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13.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76200</xdr:colOff>
      <xdr:row>40</xdr:row>
      <xdr:rowOff>22860</xdr:rowOff>
    </xdr:from>
    <xdr:to>
      <xdr:col>11</xdr:col>
      <xdr:colOff>45720</xdr:colOff>
      <xdr:row>51</xdr:row>
      <xdr:rowOff>118110</xdr:rowOff>
    </xdr:to>
    <xdr:graphicFrame macro="">
      <xdr:nvGraphicFramePr>
        <xdr:cNvPr id="2" name="Chart 1">
          <a:extLst>
            <a:ext uri="{FF2B5EF4-FFF2-40B4-BE49-F238E27FC236}">
              <a16:creationId xmlns:a16="http://schemas.microsoft.com/office/drawing/2014/main" id="{CAB71922-0AD0-F183-7062-B030007099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121920</xdr:colOff>
      <xdr:row>27</xdr:row>
      <xdr:rowOff>91440</xdr:rowOff>
    </xdr:from>
    <xdr:to>
      <xdr:col>10</xdr:col>
      <xdr:colOff>586740</xdr:colOff>
      <xdr:row>39</xdr:row>
      <xdr:rowOff>121920</xdr:rowOff>
    </xdr:to>
    <xdr:graphicFrame macro="">
      <xdr:nvGraphicFramePr>
        <xdr:cNvPr id="3" name="Chart 2">
          <a:extLst>
            <a:ext uri="{FF2B5EF4-FFF2-40B4-BE49-F238E27FC236}">
              <a16:creationId xmlns:a16="http://schemas.microsoft.com/office/drawing/2014/main" id="{B6DFE4CF-1E99-E525-12A1-2261C533A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15</xdr:row>
      <xdr:rowOff>175260</xdr:rowOff>
    </xdr:from>
    <xdr:to>
      <xdr:col>10</xdr:col>
      <xdr:colOff>579120</xdr:colOff>
      <xdr:row>25</xdr:row>
      <xdr:rowOff>72390</xdr:rowOff>
    </xdr:to>
    <xdr:graphicFrame macro="">
      <xdr:nvGraphicFramePr>
        <xdr:cNvPr id="4" name="Chart 3">
          <a:extLst>
            <a:ext uri="{FF2B5EF4-FFF2-40B4-BE49-F238E27FC236}">
              <a16:creationId xmlns:a16="http://schemas.microsoft.com/office/drawing/2014/main" id="{3817A8DB-B46D-D1D4-77E4-41A4E0F5AB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106680</xdr:colOff>
      <xdr:row>0</xdr:row>
      <xdr:rowOff>186690</xdr:rowOff>
    </xdr:from>
    <xdr:to>
      <xdr:col>14</xdr:col>
      <xdr:colOff>411480</xdr:colOff>
      <xdr:row>15</xdr:row>
      <xdr:rowOff>22860</xdr:rowOff>
    </xdr:to>
    <xdr:graphicFrame macro="">
      <xdr:nvGraphicFramePr>
        <xdr:cNvPr id="5" name="Chart 4">
          <a:extLst>
            <a:ext uri="{FF2B5EF4-FFF2-40B4-BE49-F238E27FC236}">
              <a16:creationId xmlns:a16="http://schemas.microsoft.com/office/drawing/2014/main" id="{2BCB0F0D-315F-509A-CDD4-1FB2ADE87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52</xdr:row>
      <xdr:rowOff>60960</xdr:rowOff>
    </xdr:from>
    <xdr:to>
      <xdr:col>5</xdr:col>
      <xdr:colOff>15240</xdr:colOff>
      <xdr:row>62</xdr:row>
      <xdr:rowOff>53340</xdr:rowOff>
    </xdr:to>
    <xdr:sp macro="" textlink="">
      <xdr:nvSpPr>
        <xdr:cNvPr id="6" name="TextBox 5">
          <a:extLst>
            <a:ext uri="{FF2B5EF4-FFF2-40B4-BE49-F238E27FC236}">
              <a16:creationId xmlns:a16="http://schemas.microsoft.com/office/drawing/2014/main" id="{AB05E501-46D3-D67D-49D3-652E84790014}"/>
            </a:ext>
          </a:extLst>
        </xdr:cNvPr>
        <xdr:cNvSpPr txBox="1"/>
      </xdr:nvSpPr>
      <xdr:spPr>
        <a:xfrm>
          <a:off x="91440" y="9631680"/>
          <a:ext cx="6652260" cy="1821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en-GB" b="1"/>
            <a:t>RECOMMENDATION:</a:t>
          </a:r>
          <a:endParaRPr lang="en-GB"/>
        </a:p>
        <a:p>
          <a:pPr algn="l" rtl="0"/>
          <a:r>
            <a:rPr lang="en-GB"/>
            <a:t>Budget is currently misallocated. </a:t>
          </a:r>
          <a:r>
            <a:rPr lang="en-GB" b="1"/>
            <a:t>Social</a:t>
          </a:r>
          <a:r>
            <a:rPr lang="en-GB"/>
            <a:t> is the single largest spend category (₦13.80M) yet has the </a:t>
          </a:r>
          <a:r>
            <a:rPr lang="en-GB" b="1"/>
            <a:t>weakest</a:t>
          </a:r>
          <a:r>
            <a:rPr lang="en-GB"/>
            <a:t> return (0.86x ROMI)  meaning every naira spent there comes back as less than a naira. Similarly, </a:t>
          </a:r>
          <a:r>
            <a:rPr lang="en-GB" b="1"/>
            <a:t>Facebook</a:t>
          </a:r>
          <a:r>
            <a:rPr lang="en-GB"/>
            <a:t> is the largest individual campaign spend (₦10.17M) with the lowest campaign ROMI (0.66x). Meanwhile, </a:t>
          </a:r>
          <a:r>
            <a:rPr lang="en-GB" b="1"/>
            <a:t>Influencer</a:t>
          </a:r>
          <a:r>
            <a:rPr lang="en-GB"/>
            <a:t> (2.54x ROMI) and </a:t>
          </a:r>
          <a:r>
            <a:rPr lang="en-GB" b="1"/>
            <a:t>YouTube</a:t>
          </a:r>
          <a:r>
            <a:rPr lang="en-GB"/>
            <a:t> (3.77x ROMI) are proven to return far more per naira spent, but receive comparatively little budget.</a:t>
          </a:r>
        </a:p>
        <a:p>
          <a:pPr algn="l" rtl="0"/>
          <a:endParaRPr lang="en-GB"/>
        </a:p>
        <a:p>
          <a:pPr algn="l" rtl="0"/>
          <a:r>
            <a:rPr lang="en-GB" b="1"/>
            <a:t>Action:</a:t>
          </a:r>
          <a:r>
            <a:rPr lang="en-GB"/>
            <a:t> Shift a portion of spend away from Social/Facebook and into Influencer/YouTube. Even a modest reallocation moving budget from a channel returning less than ₦1 per ₦1 spent into one returning ₦2.50–₦3.77 per ₦1 spend</a:t>
          </a:r>
          <a:r>
            <a:rPr lang="en-GB" baseline="0"/>
            <a:t> </a:t>
          </a:r>
          <a:r>
            <a:rPr lang="en-GB"/>
            <a:t>should meaningfully raise the overall 1.40x ROMI without spending a single additional naira.</a:t>
          </a: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1165860</xdr:colOff>
      <xdr:row>0</xdr:row>
      <xdr:rowOff>95250</xdr:rowOff>
    </xdr:from>
    <xdr:to>
      <xdr:col>8</xdr:col>
      <xdr:colOff>152400</xdr:colOff>
      <xdr:row>10</xdr:row>
      <xdr:rowOff>152400</xdr:rowOff>
    </xdr:to>
    <xdr:graphicFrame macro="">
      <xdr:nvGraphicFramePr>
        <xdr:cNvPr id="2" name="Chart 1">
          <a:extLst>
            <a:ext uri="{FF2B5EF4-FFF2-40B4-BE49-F238E27FC236}">
              <a16:creationId xmlns:a16="http://schemas.microsoft.com/office/drawing/2014/main" id="{C689CC37-7D54-D7D7-70C2-3511545D5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1181100</xdr:colOff>
      <xdr:row>11</xdr:row>
      <xdr:rowOff>99060</xdr:rowOff>
    </xdr:from>
    <xdr:to>
      <xdr:col>8</xdr:col>
      <xdr:colOff>205740</xdr:colOff>
      <xdr:row>23</xdr:row>
      <xdr:rowOff>0</xdr:rowOff>
    </xdr:to>
    <xdr:graphicFrame macro="">
      <xdr:nvGraphicFramePr>
        <xdr:cNvPr id="4" name="Chart 3">
          <a:extLst>
            <a:ext uri="{FF2B5EF4-FFF2-40B4-BE49-F238E27FC236}">
              <a16:creationId xmlns:a16="http://schemas.microsoft.com/office/drawing/2014/main" id="{6709AF9A-FDD5-87D1-8D7F-ED2B70C38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1173480</xdr:colOff>
      <xdr:row>23</xdr:row>
      <xdr:rowOff>121920</xdr:rowOff>
    </xdr:from>
    <xdr:to>
      <xdr:col>8</xdr:col>
      <xdr:colOff>236220</xdr:colOff>
      <xdr:row>36</xdr:row>
      <xdr:rowOff>91440</xdr:rowOff>
    </xdr:to>
    <xdr:graphicFrame macro="">
      <xdr:nvGraphicFramePr>
        <xdr:cNvPr id="5" name="Chart 4">
          <a:extLst>
            <a:ext uri="{FF2B5EF4-FFF2-40B4-BE49-F238E27FC236}">
              <a16:creationId xmlns:a16="http://schemas.microsoft.com/office/drawing/2014/main" id="{79A9245C-A1D0-86B7-11CD-27871C88D9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1196340</xdr:colOff>
      <xdr:row>37</xdr:row>
      <xdr:rowOff>3810</xdr:rowOff>
    </xdr:from>
    <xdr:to>
      <xdr:col>8</xdr:col>
      <xdr:colOff>266700</xdr:colOff>
      <xdr:row>50</xdr:row>
      <xdr:rowOff>30480</xdr:rowOff>
    </xdr:to>
    <xdr:graphicFrame macro="">
      <xdr:nvGraphicFramePr>
        <xdr:cNvPr id="6" name="Chart 5">
          <a:extLst>
            <a:ext uri="{FF2B5EF4-FFF2-40B4-BE49-F238E27FC236}">
              <a16:creationId xmlns:a16="http://schemas.microsoft.com/office/drawing/2014/main" id="{B9A57358-602B-8418-870D-3446B1687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1203960</xdr:colOff>
      <xdr:row>50</xdr:row>
      <xdr:rowOff>125730</xdr:rowOff>
    </xdr:from>
    <xdr:to>
      <xdr:col>8</xdr:col>
      <xdr:colOff>220980</xdr:colOff>
      <xdr:row>62</xdr:row>
      <xdr:rowOff>22860</xdr:rowOff>
    </xdr:to>
    <xdr:graphicFrame macro="">
      <xdr:nvGraphicFramePr>
        <xdr:cNvPr id="7" name="Chart 6">
          <a:extLst>
            <a:ext uri="{FF2B5EF4-FFF2-40B4-BE49-F238E27FC236}">
              <a16:creationId xmlns:a16="http://schemas.microsoft.com/office/drawing/2014/main" id="{89898614-3A94-1339-3A93-98637E2C3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76201</xdr:colOff>
      <xdr:row>0</xdr:row>
      <xdr:rowOff>32657</xdr:rowOff>
    </xdr:from>
    <xdr:to>
      <xdr:col>22</xdr:col>
      <xdr:colOff>533401</xdr:colOff>
      <xdr:row>5</xdr:row>
      <xdr:rowOff>0</xdr:rowOff>
    </xdr:to>
    <xdr:sp macro="" textlink="">
      <xdr:nvSpPr>
        <xdr:cNvPr id="52" name="Rectangle: Rounded Corners 51">
          <a:extLst>
            <a:ext uri="{FF2B5EF4-FFF2-40B4-BE49-F238E27FC236}">
              <a16:creationId xmlns:a16="http://schemas.microsoft.com/office/drawing/2014/main" id="{E6BA62B3-C3D3-4A99-A74A-2620A0BF5F95}"/>
            </a:ext>
          </a:extLst>
        </xdr:cNvPr>
        <xdr:cNvSpPr/>
      </xdr:nvSpPr>
      <xdr:spPr>
        <a:xfrm>
          <a:off x="11332030" y="32657"/>
          <a:ext cx="2895600" cy="892629"/>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4</xdr:col>
      <xdr:colOff>2</xdr:colOff>
      <xdr:row>6</xdr:row>
      <xdr:rowOff>108857</xdr:rowOff>
    </xdr:from>
    <xdr:to>
      <xdr:col>9</xdr:col>
      <xdr:colOff>97972</xdr:colOff>
      <xdr:row>32</xdr:row>
      <xdr:rowOff>141514</xdr:rowOff>
    </xdr:to>
    <xdr:graphicFrame macro="">
      <xdr:nvGraphicFramePr>
        <xdr:cNvPr id="2" name="Chart 1">
          <a:extLst>
            <a:ext uri="{FF2B5EF4-FFF2-40B4-BE49-F238E27FC236}">
              <a16:creationId xmlns:a16="http://schemas.microsoft.com/office/drawing/2014/main" id="{C6733898-EE55-4367-8749-24CECA6B5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533400</xdr:colOff>
      <xdr:row>20</xdr:row>
      <xdr:rowOff>97970</xdr:rowOff>
    </xdr:from>
    <xdr:to>
      <xdr:col>15</xdr:col>
      <xdr:colOff>435429</xdr:colOff>
      <xdr:row>32</xdr:row>
      <xdr:rowOff>174171</xdr:rowOff>
    </xdr:to>
    <xdr:graphicFrame macro="">
      <xdr:nvGraphicFramePr>
        <xdr:cNvPr id="3" name="Chart 2">
          <a:extLst>
            <a:ext uri="{FF2B5EF4-FFF2-40B4-BE49-F238E27FC236}">
              <a16:creationId xmlns:a16="http://schemas.microsoft.com/office/drawing/2014/main" id="{E984CEAC-0C95-4637-A364-0EEB909A53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xdr:colOff>
      <xdr:row>20</xdr:row>
      <xdr:rowOff>10886</xdr:rowOff>
    </xdr:from>
    <xdr:to>
      <xdr:col>22</xdr:col>
      <xdr:colOff>304801</xdr:colOff>
      <xdr:row>32</xdr:row>
      <xdr:rowOff>174173</xdr:rowOff>
    </xdr:to>
    <xdr:graphicFrame macro="">
      <xdr:nvGraphicFramePr>
        <xdr:cNvPr id="4" name="Chart 3">
          <a:extLst>
            <a:ext uri="{FF2B5EF4-FFF2-40B4-BE49-F238E27FC236}">
              <a16:creationId xmlns:a16="http://schemas.microsoft.com/office/drawing/2014/main" id="{C662F05C-9A9D-47E4-841E-84B08EDD7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185057</xdr:colOff>
      <xdr:row>6</xdr:row>
      <xdr:rowOff>119744</xdr:rowOff>
    </xdr:from>
    <xdr:to>
      <xdr:col>19</xdr:col>
      <xdr:colOff>195943</xdr:colOff>
      <xdr:row>18</xdr:row>
      <xdr:rowOff>21772</xdr:rowOff>
    </xdr:to>
    <xdr:graphicFrame macro="">
      <xdr:nvGraphicFramePr>
        <xdr:cNvPr id="5" name="Chart 4">
          <a:extLst>
            <a:ext uri="{FF2B5EF4-FFF2-40B4-BE49-F238E27FC236}">
              <a16:creationId xmlns:a16="http://schemas.microsoft.com/office/drawing/2014/main" id="{98D5898C-73A5-4676-AF86-AC80B9D9A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533398</xdr:colOff>
      <xdr:row>6</xdr:row>
      <xdr:rowOff>65313</xdr:rowOff>
    </xdr:from>
    <xdr:to>
      <xdr:col>14</xdr:col>
      <xdr:colOff>250372</xdr:colOff>
      <xdr:row>18</xdr:row>
      <xdr:rowOff>76198</xdr:rowOff>
    </xdr:to>
    <xdr:graphicFrame macro="">
      <xdr:nvGraphicFramePr>
        <xdr:cNvPr id="6" name="Chart 5">
          <a:extLst>
            <a:ext uri="{FF2B5EF4-FFF2-40B4-BE49-F238E27FC236}">
              <a16:creationId xmlns:a16="http://schemas.microsoft.com/office/drawing/2014/main" id="{907E4299-5219-40BD-9694-C126C8F9D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1</xdr:colOff>
      <xdr:row>4</xdr:row>
      <xdr:rowOff>133349</xdr:rowOff>
    </xdr:from>
    <xdr:ext cx="1146756" cy="264560"/>
    <xdr:sp macro="" textlink="">
      <xdr:nvSpPr>
        <xdr:cNvPr id="12" name="TextBox 11">
          <a:extLst>
            <a:ext uri="{FF2B5EF4-FFF2-40B4-BE49-F238E27FC236}">
              <a16:creationId xmlns:a16="http://schemas.microsoft.com/office/drawing/2014/main" id="{B826D110-27F6-2939-B308-D570173D2DCC}"/>
            </a:ext>
          </a:extLst>
        </xdr:cNvPr>
        <xdr:cNvSpPr txBox="1"/>
      </xdr:nvSpPr>
      <xdr:spPr>
        <a:xfrm>
          <a:off x="10648951" y="857249"/>
          <a:ext cx="114675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a:p>
      </xdr:txBody>
    </xdr:sp>
    <xdr:clientData/>
  </xdr:oneCellAnchor>
  <xdr:twoCellAnchor>
    <xdr:from>
      <xdr:col>0</xdr:col>
      <xdr:colOff>0</xdr:colOff>
      <xdr:row>0</xdr:row>
      <xdr:rowOff>0</xdr:rowOff>
    </xdr:from>
    <xdr:to>
      <xdr:col>7</xdr:col>
      <xdr:colOff>514350</xdr:colOff>
      <xdr:row>4</xdr:row>
      <xdr:rowOff>155121</xdr:rowOff>
    </xdr:to>
    <xdr:sp macro="" textlink="">
      <xdr:nvSpPr>
        <xdr:cNvPr id="13" name="Rectangle: Rounded Corners 12">
          <a:extLst>
            <a:ext uri="{FF2B5EF4-FFF2-40B4-BE49-F238E27FC236}">
              <a16:creationId xmlns:a16="http://schemas.microsoft.com/office/drawing/2014/main" id="{B3F31DE7-D0A8-A7C5-196B-535221FA5FC7}"/>
            </a:ext>
          </a:extLst>
        </xdr:cNvPr>
        <xdr:cNvSpPr/>
      </xdr:nvSpPr>
      <xdr:spPr>
        <a:xfrm>
          <a:off x="0" y="0"/>
          <a:ext cx="4781550" cy="895350"/>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16</xdr:col>
      <xdr:colOff>228600</xdr:colOff>
      <xdr:row>19</xdr:row>
      <xdr:rowOff>97972</xdr:rowOff>
    </xdr:from>
    <xdr:to>
      <xdr:col>22</xdr:col>
      <xdr:colOff>511629</xdr:colOff>
      <xdr:row>33</xdr:row>
      <xdr:rowOff>96611</xdr:rowOff>
    </xdr:to>
    <xdr:sp macro="" textlink="">
      <xdr:nvSpPr>
        <xdr:cNvPr id="14" name="Rectangle: Rounded Corners 13">
          <a:extLst>
            <a:ext uri="{FF2B5EF4-FFF2-40B4-BE49-F238E27FC236}">
              <a16:creationId xmlns:a16="http://schemas.microsoft.com/office/drawing/2014/main" id="{B61A108E-B569-46AF-8BA8-7582CE32A73A}"/>
            </a:ext>
          </a:extLst>
        </xdr:cNvPr>
        <xdr:cNvSpPr/>
      </xdr:nvSpPr>
      <xdr:spPr>
        <a:xfrm>
          <a:off x="10265229" y="3614058"/>
          <a:ext cx="3940629" cy="2589439"/>
        </a:xfrm>
        <a:prstGeom prst="roundRect">
          <a:avLst/>
        </a:prstGeom>
        <a:no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425903</xdr:colOff>
      <xdr:row>19</xdr:row>
      <xdr:rowOff>87084</xdr:rowOff>
    </xdr:from>
    <xdr:to>
      <xdr:col>16</xdr:col>
      <xdr:colOff>130628</xdr:colOff>
      <xdr:row>33</xdr:row>
      <xdr:rowOff>152400</xdr:rowOff>
    </xdr:to>
    <xdr:sp macro="" textlink="">
      <xdr:nvSpPr>
        <xdr:cNvPr id="15" name="Rectangle: Rounded Corners 14">
          <a:extLst>
            <a:ext uri="{FF2B5EF4-FFF2-40B4-BE49-F238E27FC236}">
              <a16:creationId xmlns:a16="http://schemas.microsoft.com/office/drawing/2014/main" id="{8AD74209-CAA4-413D-8936-A93A5A0158B3}"/>
            </a:ext>
          </a:extLst>
        </xdr:cNvPr>
        <xdr:cNvSpPr/>
      </xdr:nvSpPr>
      <xdr:spPr>
        <a:xfrm>
          <a:off x="5912303" y="3603170"/>
          <a:ext cx="4254954" cy="2656116"/>
        </a:xfrm>
        <a:prstGeom prst="roundRect">
          <a:avLst/>
        </a:prstGeom>
        <a:no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457201</xdr:colOff>
      <xdr:row>5</xdr:row>
      <xdr:rowOff>141514</xdr:rowOff>
    </xdr:from>
    <xdr:to>
      <xdr:col>9</xdr:col>
      <xdr:colOff>370114</xdr:colOff>
      <xdr:row>33</xdr:row>
      <xdr:rowOff>119744</xdr:rowOff>
    </xdr:to>
    <xdr:sp macro="" textlink="">
      <xdr:nvSpPr>
        <xdr:cNvPr id="16" name="Rectangle: Rounded Corners 15">
          <a:extLst>
            <a:ext uri="{FF2B5EF4-FFF2-40B4-BE49-F238E27FC236}">
              <a16:creationId xmlns:a16="http://schemas.microsoft.com/office/drawing/2014/main" id="{474147E8-723C-4A06-B513-B9FB913BD2F3}"/>
            </a:ext>
          </a:extLst>
        </xdr:cNvPr>
        <xdr:cNvSpPr/>
      </xdr:nvSpPr>
      <xdr:spPr>
        <a:xfrm>
          <a:off x="2286001" y="1066800"/>
          <a:ext cx="3570513" cy="5159830"/>
        </a:xfrm>
        <a:prstGeom prst="roundRect">
          <a:avLst/>
        </a:prstGeom>
        <a:no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419102</xdr:colOff>
      <xdr:row>6</xdr:row>
      <xdr:rowOff>0</xdr:rowOff>
    </xdr:from>
    <xdr:to>
      <xdr:col>14</xdr:col>
      <xdr:colOff>435429</xdr:colOff>
      <xdr:row>19</xdr:row>
      <xdr:rowOff>10885</xdr:rowOff>
    </xdr:to>
    <xdr:sp macro="" textlink="">
      <xdr:nvSpPr>
        <xdr:cNvPr id="17" name="Rectangle: Rounded Corners 16">
          <a:extLst>
            <a:ext uri="{FF2B5EF4-FFF2-40B4-BE49-F238E27FC236}">
              <a16:creationId xmlns:a16="http://schemas.microsoft.com/office/drawing/2014/main" id="{81F73222-F6D2-4036-8669-E8F2EBE2356F}"/>
            </a:ext>
          </a:extLst>
        </xdr:cNvPr>
        <xdr:cNvSpPr/>
      </xdr:nvSpPr>
      <xdr:spPr>
        <a:xfrm>
          <a:off x="5905502" y="1110343"/>
          <a:ext cx="3205841" cy="2416628"/>
        </a:xfrm>
        <a:prstGeom prst="roundRect">
          <a:avLst/>
        </a:prstGeom>
        <a:no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 </a:t>
          </a:r>
        </a:p>
      </xdr:txBody>
    </xdr:sp>
    <xdr:clientData/>
  </xdr:twoCellAnchor>
  <xdr:twoCellAnchor>
    <xdr:from>
      <xdr:col>14</xdr:col>
      <xdr:colOff>587828</xdr:colOff>
      <xdr:row>5</xdr:row>
      <xdr:rowOff>141515</xdr:rowOff>
    </xdr:from>
    <xdr:to>
      <xdr:col>19</xdr:col>
      <xdr:colOff>413654</xdr:colOff>
      <xdr:row>19</xdr:row>
      <xdr:rowOff>21771</xdr:rowOff>
    </xdr:to>
    <xdr:sp macro="" textlink="">
      <xdr:nvSpPr>
        <xdr:cNvPr id="18" name="Rectangle: Rounded Corners 17">
          <a:extLst>
            <a:ext uri="{FF2B5EF4-FFF2-40B4-BE49-F238E27FC236}">
              <a16:creationId xmlns:a16="http://schemas.microsoft.com/office/drawing/2014/main" id="{52BA8C79-3838-4E10-BFC0-367405A74551}"/>
            </a:ext>
          </a:extLst>
        </xdr:cNvPr>
        <xdr:cNvSpPr/>
      </xdr:nvSpPr>
      <xdr:spPr>
        <a:xfrm>
          <a:off x="9263742" y="1066801"/>
          <a:ext cx="3015341" cy="2471056"/>
        </a:xfrm>
        <a:prstGeom prst="roundRect">
          <a:avLst/>
        </a:prstGeom>
        <a:noFill/>
        <a:ln>
          <a:solidFill>
            <a:srgbClr val="C00000"/>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0</xdr:colOff>
      <xdr:row>0</xdr:row>
      <xdr:rowOff>0</xdr:rowOff>
    </xdr:from>
    <xdr:to>
      <xdr:col>1</xdr:col>
      <xdr:colOff>239486</xdr:colOff>
      <xdr:row>4</xdr:row>
      <xdr:rowOff>108857</xdr:rowOff>
    </xdr:to>
    <xdr:pic>
      <xdr:nvPicPr>
        <xdr:cNvPr id="22" name="Graphic 21" descr="Bar graph with upward trend with solid fill">
          <a:extLst>
            <a:ext uri="{FF2B5EF4-FFF2-40B4-BE49-F238E27FC236}">
              <a16:creationId xmlns:a16="http://schemas.microsoft.com/office/drawing/2014/main" id="{93AAD1B5-8797-8DAA-50FF-62AD6F07156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0" y="0"/>
          <a:ext cx="849086" cy="849086"/>
        </a:xfrm>
        <a:prstGeom prst="rect">
          <a:avLst/>
        </a:prstGeom>
      </xdr:spPr>
    </xdr:pic>
    <xdr:clientData/>
  </xdr:twoCellAnchor>
  <xdr:oneCellAnchor>
    <xdr:from>
      <xdr:col>1</xdr:col>
      <xdr:colOff>152400</xdr:colOff>
      <xdr:row>1</xdr:row>
      <xdr:rowOff>21771</xdr:rowOff>
    </xdr:from>
    <xdr:ext cx="3971925" cy="542925"/>
    <xdr:sp macro="" textlink="">
      <xdr:nvSpPr>
        <xdr:cNvPr id="23" name="TextBox 22">
          <a:extLst>
            <a:ext uri="{FF2B5EF4-FFF2-40B4-BE49-F238E27FC236}">
              <a16:creationId xmlns:a16="http://schemas.microsoft.com/office/drawing/2014/main" id="{E6C9EDBF-20F0-4C64-93C3-F5596072E3F1}"/>
            </a:ext>
          </a:extLst>
        </xdr:cNvPr>
        <xdr:cNvSpPr txBox="1"/>
      </xdr:nvSpPr>
      <xdr:spPr>
        <a:xfrm>
          <a:off x="762000" y="206828"/>
          <a:ext cx="3971925" cy="542925"/>
        </a:xfrm>
        <a:prstGeom prst="rect">
          <a:avLst/>
        </a:prstGeom>
        <a:noFill/>
        <a:effectLst>
          <a:outerShdw blurRad="50800" dist="38100" dir="5400000" algn="t" rotWithShape="0">
            <a:srgbClr val="C00000">
              <a:alpha val="40000"/>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3200" b="1">
              <a:solidFill>
                <a:schemeClr val="tx1"/>
              </a:solidFill>
              <a:latin typeface="Aparajita" panose="02020603050405020304" pitchFamily="18" charset="0"/>
              <a:cs typeface="Aparajita" panose="02020603050405020304" pitchFamily="18" charset="0"/>
            </a:rPr>
            <a:t>DIGITAL MARKETING</a:t>
          </a:r>
        </a:p>
      </xdr:txBody>
    </xdr:sp>
    <xdr:clientData/>
  </xdr:oneCellAnchor>
  <xdr:twoCellAnchor>
    <xdr:from>
      <xdr:col>0</xdr:col>
      <xdr:colOff>1</xdr:colOff>
      <xdr:row>5</xdr:row>
      <xdr:rowOff>76199</xdr:rowOff>
    </xdr:from>
    <xdr:to>
      <xdr:col>3</xdr:col>
      <xdr:colOff>391887</xdr:colOff>
      <xdr:row>33</xdr:row>
      <xdr:rowOff>108856</xdr:rowOff>
    </xdr:to>
    <xdr:sp macro="" textlink="">
      <xdr:nvSpPr>
        <xdr:cNvPr id="24" name="Rectangle: Rounded Corners 23">
          <a:extLst>
            <a:ext uri="{FF2B5EF4-FFF2-40B4-BE49-F238E27FC236}">
              <a16:creationId xmlns:a16="http://schemas.microsoft.com/office/drawing/2014/main" id="{944AECDB-69E3-4556-B230-AD2BBBCC5354}"/>
            </a:ext>
          </a:extLst>
        </xdr:cNvPr>
        <xdr:cNvSpPr/>
      </xdr:nvSpPr>
      <xdr:spPr>
        <a:xfrm>
          <a:off x="1" y="1001485"/>
          <a:ext cx="2220686" cy="5214257"/>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bg1"/>
              </a:solidFill>
            </a:rPr>
            <a:t>v</a:t>
          </a:r>
        </a:p>
      </xdr:txBody>
    </xdr:sp>
    <xdr:clientData/>
  </xdr:twoCellAnchor>
  <xdr:twoCellAnchor editAs="oneCell">
    <xdr:from>
      <xdr:col>0</xdr:col>
      <xdr:colOff>54429</xdr:colOff>
      <xdr:row>6</xdr:row>
      <xdr:rowOff>119743</xdr:rowOff>
    </xdr:from>
    <xdr:to>
      <xdr:col>3</xdr:col>
      <xdr:colOff>370114</xdr:colOff>
      <xdr:row>11</xdr:row>
      <xdr:rowOff>108856</xdr:rowOff>
    </xdr:to>
    <mc:AlternateContent xmlns:mc="http://schemas.openxmlformats.org/markup-compatibility/2006" xmlns:a14="http://schemas.microsoft.com/office/drawing/2010/main">
      <mc:Choice Requires="a14">
        <xdr:graphicFrame macro="">
          <xdr:nvGraphicFramePr>
            <xdr:cNvPr id="25" name="Tier 1">
              <a:extLst>
                <a:ext uri="{FF2B5EF4-FFF2-40B4-BE49-F238E27FC236}">
                  <a16:creationId xmlns:a16="http://schemas.microsoft.com/office/drawing/2014/main" id="{C2EFAAD0-2B09-400A-9C5F-3FF1BC708D6B}"/>
                </a:ext>
              </a:extLst>
            </xdr:cNvPr>
            <xdr:cNvGraphicFramePr/>
          </xdr:nvGraphicFramePr>
          <xdr:xfrm>
            <a:off x="0" y="0"/>
            <a:ext cx="0" cy="0"/>
          </xdr:xfrm>
          <a:graphic>
            <a:graphicData uri="http://schemas.microsoft.com/office/drawing/2010/slicer">
              <sle:slicer xmlns:sle="http://schemas.microsoft.com/office/drawing/2010/slicer" name="Tier 1"/>
            </a:graphicData>
          </a:graphic>
        </xdr:graphicFrame>
      </mc:Choice>
      <mc:Fallback xmlns="">
        <xdr:sp macro="" textlink="">
          <xdr:nvSpPr>
            <xdr:cNvPr id="0" name=""/>
            <xdr:cNvSpPr>
              <a:spLocks noTextEdit="1"/>
            </xdr:cNvSpPr>
          </xdr:nvSpPr>
          <xdr:spPr>
            <a:xfrm>
              <a:off x="54429" y="1230086"/>
              <a:ext cx="2144485"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32657</xdr:colOff>
      <xdr:row>13</xdr:row>
      <xdr:rowOff>119743</xdr:rowOff>
    </xdr:from>
    <xdr:to>
      <xdr:col>3</xdr:col>
      <xdr:colOff>388892</xdr:colOff>
      <xdr:row>17</xdr:row>
      <xdr:rowOff>156210</xdr:rowOff>
    </xdr:to>
    <mc:AlternateContent xmlns:mc="http://schemas.openxmlformats.org/markup-compatibility/2006">
      <mc:Choice xmlns:a14="http://schemas.microsoft.com/office/drawing/2010/main" Requires="a14">
        <xdr:graphicFrame macro="">
          <xdr:nvGraphicFramePr>
            <xdr:cNvPr id="27" name="Days 1">
              <a:extLst>
                <a:ext uri="{FF2B5EF4-FFF2-40B4-BE49-F238E27FC236}">
                  <a16:creationId xmlns:a16="http://schemas.microsoft.com/office/drawing/2014/main" id="{A66261E3-CF49-4AAB-9A18-D6461CC21716}"/>
                </a:ext>
              </a:extLst>
            </xdr:cNvPr>
            <xdr:cNvGraphicFramePr/>
          </xdr:nvGraphicFramePr>
          <xdr:xfrm>
            <a:off x="0" y="0"/>
            <a:ext cx="0" cy="0"/>
          </xdr:xfrm>
          <a:graphic>
            <a:graphicData uri="http://schemas.microsoft.com/office/drawing/2010/slicer">
              <sle:slicer xmlns:sle="http://schemas.microsoft.com/office/drawing/2010/slicer" name="Days 1"/>
            </a:graphicData>
          </a:graphic>
        </xdr:graphicFrame>
      </mc:Choice>
      <mc:Fallback>
        <xdr:sp macro="" textlink="">
          <xdr:nvSpPr>
            <xdr:cNvPr id="0" name=""/>
            <xdr:cNvSpPr>
              <a:spLocks noTextEdit="1"/>
            </xdr:cNvSpPr>
          </xdr:nvSpPr>
          <xdr:spPr>
            <a:xfrm>
              <a:off x="32657" y="2472418"/>
              <a:ext cx="2185035" cy="7603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20</xdr:row>
      <xdr:rowOff>54429</xdr:rowOff>
    </xdr:from>
    <xdr:to>
      <xdr:col>3</xdr:col>
      <xdr:colOff>315687</xdr:colOff>
      <xdr:row>25</xdr:row>
      <xdr:rowOff>32658</xdr:rowOff>
    </xdr:to>
    <mc:AlternateContent xmlns:mc="http://schemas.openxmlformats.org/markup-compatibility/2006">
      <mc:Choice xmlns:a14="http://schemas.microsoft.com/office/drawing/2010/main" Requires="a14">
        <xdr:graphicFrame macro="">
          <xdr:nvGraphicFramePr>
            <xdr:cNvPr id="29" name="category 2">
              <a:extLst>
                <a:ext uri="{FF2B5EF4-FFF2-40B4-BE49-F238E27FC236}">
                  <a16:creationId xmlns:a16="http://schemas.microsoft.com/office/drawing/2014/main" id="{4BEE0707-9C84-480F-92B6-02F95E30090B}"/>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 y="3673929"/>
              <a:ext cx="2144486" cy="8831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43542</xdr:colOff>
      <xdr:row>26</xdr:row>
      <xdr:rowOff>173083</xdr:rowOff>
    </xdr:from>
    <xdr:to>
      <xdr:col>3</xdr:col>
      <xdr:colOff>391885</xdr:colOff>
      <xdr:row>32</xdr:row>
      <xdr:rowOff>43543</xdr:rowOff>
    </xdr:to>
    <mc:AlternateContent xmlns:mc="http://schemas.openxmlformats.org/markup-compatibility/2006">
      <mc:Choice xmlns:a14="http://schemas.microsoft.com/office/drawing/2010/main" Requires="a14">
        <xdr:graphicFrame macro="">
          <xdr:nvGraphicFramePr>
            <xdr:cNvPr id="30" name="campaign_name">
              <a:extLst>
                <a:ext uri="{FF2B5EF4-FFF2-40B4-BE49-F238E27FC236}">
                  <a16:creationId xmlns:a16="http://schemas.microsoft.com/office/drawing/2014/main" id="{66EA7E20-41DA-DCAE-E053-8F18A2E2F757}"/>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dr:sp macro="" textlink="">
          <xdr:nvSpPr>
            <xdr:cNvPr id="0" name=""/>
            <xdr:cNvSpPr>
              <a:spLocks noTextEdit="1"/>
            </xdr:cNvSpPr>
          </xdr:nvSpPr>
          <xdr:spPr>
            <a:xfrm>
              <a:off x="43542" y="4878433"/>
              <a:ext cx="2177143" cy="9563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587827</xdr:colOff>
      <xdr:row>0</xdr:row>
      <xdr:rowOff>10886</xdr:rowOff>
    </xdr:from>
    <xdr:to>
      <xdr:col>13</xdr:col>
      <xdr:colOff>43542</xdr:colOff>
      <xdr:row>5</xdr:row>
      <xdr:rowOff>21771</xdr:rowOff>
    </xdr:to>
    <xdr:sp macro="" textlink="">
      <xdr:nvSpPr>
        <xdr:cNvPr id="31" name="Rectangle: Rounded Corners 30">
          <a:extLst>
            <a:ext uri="{FF2B5EF4-FFF2-40B4-BE49-F238E27FC236}">
              <a16:creationId xmlns:a16="http://schemas.microsoft.com/office/drawing/2014/main" id="{E9AC4D64-92F1-44FE-8DF4-FBA43974FE7F}"/>
            </a:ext>
          </a:extLst>
        </xdr:cNvPr>
        <xdr:cNvSpPr/>
      </xdr:nvSpPr>
      <xdr:spPr>
        <a:xfrm>
          <a:off x="4855027" y="10886"/>
          <a:ext cx="3113315" cy="936171"/>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13</xdr:col>
      <xdr:colOff>163285</xdr:colOff>
      <xdr:row>0</xdr:row>
      <xdr:rowOff>0</xdr:rowOff>
    </xdr:from>
    <xdr:to>
      <xdr:col>17</xdr:col>
      <xdr:colOff>511629</xdr:colOff>
      <xdr:row>5</xdr:row>
      <xdr:rowOff>21771</xdr:rowOff>
    </xdr:to>
    <xdr:sp macro="" textlink="">
      <xdr:nvSpPr>
        <xdr:cNvPr id="33" name="Rectangle: Rounded Corners 32">
          <a:extLst>
            <a:ext uri="{FF2B5EF4-FFF2-40B4-BE49-F238E27FC236}">
              <a16:creationId xmlns:a16="http://schemas.microsoft.com/office/drawing/2014/main" id="{E4A2A60B-5A11-4A53-BEF9-F22ABE6AAA01}"/>
            </a:ext>
          </a:extLst>
        </xdr:cNvPr>
        <xdr:cNvSpPr/>
      </xdr:nvSpPr>
      <xdr:spPr>
        <a:xfrm>
          <a:off x="8088085" y="0"/>
          <a:ext cx="3069773" cy="947057"/>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9</xdr:col>
      <xdr:colOff>489858</xdr:colOff>
      <xdr:row>2</xdr:row>
      <xdr:rowOff>87086</xdr:rowOff>
    </xdr:from>
    <xdr:to>
      <xdr:col>12</xdr:col>
      <xdr:colOff>424544</xdr:colOff>
      <xdr:row>4</xdr:row>
      <xdr:rowOff>43543</xdr:rowOff>
    </xdr:to>
    <xdr:sp macro="" textlink="Pivot_Table!C65">
      <xdr:nvSpPr>
        <xdr:cNvPr id="35" name="TextBox 34">
          <a:extLst>
            <a:ext uri="{FF2B5EF4-FFF2-40B4-BE49-F238E27FC236}">
              <a16:creationId xmlns:a16="http://schemas.microsoft.com/office/drawing/2014/main" id="{31F95E43-A4AE-C75E-0C69-2DE3FDD94E41}"/>
            </a:ext>
          </a:extLst>
        </xdr:cNvPr>
        <xdr:cNvSpPr txBox="1"/>
      </xdr:nvSpPr>
      <xdr:spPr>
        <a:xfrm>
          <a:off x="5976258" y="457200"/>
          <a:ext cx="1763486"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07F100B-4132-4BC8-8098-53E6A0427D97}" type="TxLink">
            <a:rPr lang="en-US" sz="2000" b="1" i="0" u="none" strike="noStrike">
              <a:solidFill>
                <a:srgbClr val="000000"/>
              </a:solidFill>
              <a:latin typeface="Aparajita" panose="02020603050405020304" pitchFamily="18" charset="0"/>
              <a:ea typeface="Calibri"/>
              <a:cs typeface="Aparajita" panose="02020603050405020304" pitchFamily="18" charset="0"/>
            </a:rPr>
            <a:pPr algn="r"/>
            <a:t> ₦30,590,879.82 </a:t>
          </a:fld>
          <a:endParaRPr lang="en-GB" sz="2000" b="1">
            <a:latin typeface="Aparajita" panose="02020603050405020304" pitchFamily="18" charset="0"/>
            <a:cs typeface="Aparajita" panose="02020603050405020304" pitchFamily="18" charset="0"/>
          </a:endParaRPr>
        </a:p>
      </xdr:txBody>
    </xdr:sp>
    <xdr:clientData/>
  </xdr:twoCellAnchor>
  <xdr:twoCellAnchor>
    <xdr:from>
      <xdr:col>15</xdr:col>
      <xdr:colOff>381000</xdr:colOff>
      <xdr:row>3</xdr:row>
      <xdr:rowOff>3</xdr:rowOff>
    </xdr:from>
    <xdr:to>
      <xdr:col>17</xdr:col>
      <xdr:colOff>511629</xdr:colOff>
      <xdr:row>4</xdr:row>
      <xdr:rowOff>65314</xdr:rowOff>
    </xdr:to>
    <xdr:sp macro="" textlink="Pivot_Table!F65">
      <xdr:nvSpPr>
        <xdr:cNvPr id="36" name="TextBox 35">
          <a:extLst>
            <a:ext uri="{FF2B5EF4-FFF2-40B4-BE49-F238E27FC236}">
              <a16:creationId xmlns:a16="http://schemas.microsoft.com/office/drawing/2014/main" id="{7DF68D58-6A21-4117-8F80-B96B68B28DBE}"/>
            </a:ext>
          </a:extLst>
        </xdr:cNvPr>
        <xdr:cNvSpPr txBox="1"/>
      </xdr:nvSpPr>
      <xdr:spPr>
        <a:xfrm>
          <a:off x="9666514" y="555174"/>
          <a:ext cx="1491344" cy="250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EC317774-AC14-4244-B45E-6D46318E5582}" type="TxLink">
            <a:rPr lang="en-US" sz="1800" b="1" i="0" u="none" strike="noStrike">
              <a:solidFill>
                <a:schemeClr val="tx1"/>
              </a:solidFill>
              <a:latin typeface="Aparajita" panose="02020603050405020304" pitchFamily="18" charset="0"/>
              <a:ea typeface="Calibri"/>
              <a:cs typeface="Aparajita" panose="02020603050405020304" pitchFamily="18" charset="0"/>
            </a:rPr>
            <a:pPr algn="r"/>
            <a:t> ₦42,889,366.00 </a:t>
          </a:fld>
          <a:endParaRPr lang="en-GB" sz="18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9</xdr:col>
      <xdr:colOff>283029</xdr:colOff>
      <xdr:row>0</xdr:row>
      <xdr:rowOff>21771</xdr:rowOff>
    </xdr:from>
    <xdr:to>
      <xdr:col>12</xdr:col>
      <xdr:colOff>489857</xdr:colOff>
      <xdr:row>2</xdr:row>
      <xdr:rowOff>65314</xdr:rowOff>
    </xdr:to>
    <xdr:sp macro="" textlink="">
      <xdr:nvSpPr>
        <xdr:cNvPr id="37" name="TextBox 36">
          <a:extLst>
            <a:ext uri="{FF2B5EF4-FFF2-40B4-BE49-F238E27FC236}">
              <a16:creationId xmlns:a16="http://schemas.microsoft.com/office/drawing/2014/main" id="{E57F63CB-7720-B8E2-932E-73B00ABBBC4D}"/>
            </a:ext>
          </a:extLst>
        </xdr:cNvPr>
        <xdr:cNvSpPr txBox="1"/>
      </xdr:nvSpPr>
      <xdr:spPr>
        <a:xfrm>
          <a:off x="5769429" y="21771"/>
          <a:ext cx="2035628"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tx1"/>
              </a:solidFill>
              <a:latin typeface="Aparajita" panose="02020603050405020304" pitchFamily="18" charset="0"/>
              <a:cs typeface="Aparajita" panose="02020603050405020304" pitchFamily="18" charset="0"/>
            </a:rPr>
            <a:t>MONEY SPENT</a:t>
          </a:r>
        </a:p>
      </xdr:txBody>
    </xdr:sp>
    <xdr:clientData/>
  </xdr:twoCellAnchor>
  <xdr:twoCellAnchor editAs="oneCell">
    <xdr:from>
      <xdr:col>8</xdr:col>
      <xdr:colOff>97973</xdr:colOff>
      <xdr:row>0</xdr:row>
      <xdr:rowOff>43544</xdr:rowOff>
    </xdr:from>
    <xdr:to>
      <xdr:col>9</xdr:col>
      <xdr:colOff>326573</xdr:colOff>
      <xdr:row>4</xdr:row>
      <xdr:rowOff>141515</xdr:rowOff>
    </xdr:to>
    <xdr:pic>
      <xdr:nvPicPr>
        <xdr:cNvPr id="39" name="Graphic 38" descr="Coins outline">
          <a:extLst>
            <a:ext uri="{FF2B5EF4-FFF2-40B4-BE49-F238E27FC236}">
              <a16:creationId xmlns:a16="http://schemas.microsoft.com/office/drawing/2014/main" id="{2A36FA42-D09F-B382-A41E-953070ABA6E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74773" y="43544"/>
          <a:ext cx="838200" cy="838200"/>
        </a:xfrm>
        <a:prstGeom prst="rect">
          <a:avLst/>
        </a:prstGeom>
      </xdr:spPr>
    </xdr:pic>
    <xdr:clientData/>
  </xdr:twoCellAnchor>
  <xdr:twoCellAnchor>
    <xdr:from>
      <xdr:col>15</xdr:col>
      <xdr:colOff>195943</xdr:colOff>
      <xdr:row>0</xdr:row>
      <xdr:rowOff>87086</xdr:rowOff>
    </xdr:from>
    <xdr:to>
      <xdr:col>17</xdr:col>
      <xdr:colOff>489857</xdr:colOff>
      <xdr:row>2</xdr:row>
      <xdr:rowOff>76202</xdr:rowOff>
    </xdr:to>
    <xdr:sp macro="" textlink="">
      <xdr:nvSpPr>
        <xdr:cNvPr id="43" name="TextBox 42">
          <a:extLst>
            <a:ext uri="{FF2B5EF4-FFF2-40B4-BE49-F238E27FC236}">
              <a16:creationId xmlns:a16="http://schemas.microsoft.com/office/drawing/2014/main" id="{B745A3C3-CCDB-53D3-5465-C3EBEDC148F5}"/>
            </a:ext>
          </a:extLst>
        </xdr:cNvPr>
        <xdr:cNvSpPr txBox="1"/>
      </xdr:nvSpPr>
      <xdr:spPr>
        <a:xfrm>
          <a:off x="9481457" y="87086"/>
          <a:ext cx="1654629" cy="35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tx1"/>
              </a:solidFill>
              <a:latin typeface="Aparajita" panose="02020603050405020304" pitchFamily="18" charset="0"/>
              <a:cs typeface="Aparajita" panose="02020603050405020304" pitchFamily="18" charset="0"/>
            </a:rPr>
            <a:t>REVENUE</a:t>
          </a:r>
        </a:p>
      </xdr:txBody>
    </xdr:sp>
    <xdr:clientData/>
  </xdr:twoCellAnchor>
  <xdr:twoCellAnchor editAs="oneCell">
    <xdr:from>
      <xdr:col>13</xdr:col>
      <xdr:colOff>272143</xdr:colOff>
      <xdr:row>0</xdr:row>
      <xdr:rowOff>43544</xdr:rowOff>
    </xdr:from>
    <xdr:to>
      <xdr:col>14</xdr:col>
      <xdr:colOff>370114</xdr:colOff>
      <xdr:row>4</xdr:row>
      <xdr:rowOff>152400</xdr:rowOff>
    </xdr:to>
    <xdr:pic>
      <xdr:nvPicPr>
        <xdr:cNvPr id="45" name="Graphic 44" descr="Flying Money with solid fill">
          <a:extLst>
            <a:ext uri="{FF2B5EF4-FFF2-40B4-BE49-F238E27FC236}">
              <a16:creationId xmlns:a16="http://schemas.microsoft.com/office/drawing/2014/main" id="{507B4475-1712-6691-6D4C-AEC04658A0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196943" y="43544"/>
          <a:ext cx="849085" cy="849085"/>
        </a:xfrm>
        <a:prstGeom prst="rect">
          <a:avLst/>
        </a:prstGeom>
      </xdr:spPr>
    </xdr:pic>
    <xdr:clientData/>
  </xdr:twoCellAnchor>
  <xdr:twoCellAnchor>
    <xdr:from>
      <xdr:col>20</xdr:col>
      <xdr:colOff>293915</xdr:colOff>
      <xdr:row>2</xdr:row>
      <xdr:rowOff>76197</xdr:rowOff>
    </xdr:from>
    <xdr:to>
      <xdr:col>22</xdr:col>
      <xdr:colOff>435431</xdr:colOff>
      <xdr:row>3</xdr:row>
      <xdr:rowOff>174171</xdr:rowOff>
    </xdr:to>
    <xdr:sp macro="" textlink="Pivot_Table!C71">
      <xdr:nvSpPr>
        <xdr:cNvPr id="46" name="TextBox 45">
          <a:extLst>
            <a:ext uri="{FF2B5EF4-FFF2-40B4-BE49-F238E27FC236}">
              <a16:creationId xmlns:a16="http://schemas.microsoft.com/office/drawing/2014/main" id="{711D1A39-04AF-4344-A216-F6DE8837616D}"/>
            </a:ext>
          </a:extLst>
        </xdr:cNvPr>
        <xdr:cNvSpPr txBox="1"/>
      </xdr:nvSpPr>
      <xdr:spPr>
        <a:xfrm>
          <a:off x="12768944" y="446311"/>
          <a:ext cx="1360716" cy="283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0A968E59-C880-4B1A-9F06-3EBD0E2AA195}" type="TxLink">
            <a:rPr lang="en-US" sz="2400" b="1" i="0" u="none" strike="noStrike">
              <a:solidFill>
                <a:schemeClr val="tx1"/>
              </a:solidFill>
              <a:latin typeface="Aparajita" panose="02020603050405020304" pitchFamily="18" charset="0"/>
              <a:ea typeface="Calibri"/>
              <a:cs typeface="Aparajita" panose="02020603050405020304" pitchFamily="18" charset="0"/>
            </a:rPr>
            <a:pPr algn="r"/>
            <a:t>8,043</a:t>
          </a:fld>
          <a:endParaRPr lang="en-GB" sz="2400" b="1">
            <a:solidFill>
              <a:schemeClr val="tx1"/>
            </a:solidFill>
            <a:latin typeface="Aparajita" panose="02020603050405020304" pitchFamily="18" charset="0"/>
            <a:cs typeface="Aparajita" panose="02020603050405020304" pitchFamily="18" charset="0"/>
          </a:endParaRPr>
        </a:p>
      </xdr:txBody>
    </xdr:sp>
    <xdr:clientData/>
  </xdr:twoCellAnchor>
  <xdr:twoCellAnchor editAs="oneCell">
    <xdr:from>
      <xdr:col>18</xdr:col>
      <xdr:colOff>381001</xdr:colOff>
      <xdr:row>0</xdr:row>
      <xdr:rowOff>87087</xdr:rowOff>
    </xdr:from>
    <xdr:to>
      <xdr:col>19</xdr:col>
      <xdr:colOff>457201</xdr:colOff>
      <xdr:row>4</xdr:row>
      <xdr:rowOff>32658</xdr:rowOff>
    </xdr:to>
    <xdr:pic>
      <xdr:nvPicPr>
        <xdr:cNvPr id="48" name="Graphic 47" descr="Settings with solid fill">
          <a:extLst>
            <a:ext uri="{FF2B5EF4-FFF2-40B4-BE49-F238E27FC236}">
              <a16:creationId xmlns:a16="http://schemas.microsoft.com/office/drawing/2014/main" id="{C0CD94E9-E897-6B0E-1BB0-50067E029AB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636830" y="87087"/>
          <a:ext cx="685800" cy="685800"/>
        </a:xfrm>
        <a:prstGeom prst="rect">
          <a:avLst/>
        </a:prstGeom>
      </xdr:spPr>
    </xdr:pic>
    <xdr:clientData/>
  </xdr:twoCellAnchor>
  <xdr:twoCellAnchor>
    <xdr:from>
      <xdr:col>19</xdr:col>
      <xdr:colOff>511629</xdr:colOff>
      <xdr:row>5</xdr:row>
      <xdr:rowOff>163284</xdr:rowOff>
    </xdr:from>
    <xdr:to>
      <xdr:col>22</xdr:col>
      <xdr:colOff>587827</xdr:colOff>
      <xdr:row>10</xdr:row>
      <xdr:rowOff>65315</xdr:rowOff>
    </xdr:to>
    <xdr:sp macro="" textlink="">
      <xdr:nvSpPr>
        <xdr:cNvPr id="53" name="Rectangle: Rounded Corners 52">
          <a:extLst>
            <a:ext uri="{FF2B5EF4-FFF2-40B4-BE49-F238E27FC236}">
              <a16:creationId xmlns:a16="http://schemas.microsoft.com/office/drawing/2014/main" id="{F824D3E6-F4B6-4D40-8894-C414D87C2690}"/>
            </a:ext>
          </a:extLst>
        </xdr:cNvPr>
        <xdr:cNvSpPr/>
      </xdr:nvSpPr>
      <xdr:spPr>
        <a:xfrm>
          <a:off x="12377058" y="1088570"/>
          <a:ext cx="1904998" cy="827316"/>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xdr:from>
      <xdr:col>19</xdr:col>
      <xdr:colOff>424542</xdr:colOff>
      <xdr:row>0</xdr:row>
      <xdr:rowOff>76201</xdr:rowOff>
    </xdr:from>
    <xdr:to>
      <xdr:col>22</xdr:col>
      <xdr:colOff>446313</xdr:colOff>
      <xdr:row>2</xdr:row>
      <xdr:rowOff>119744</xdr:rowOff>
    </xdr:to>
    <xdr:sp macro="" textlink="">
      <xdr:nvSpPr>
        <xdr:cNvPr id="9" name="TextBox 8">
          <a:extLst>
            <a:ext uri="{FF2B5EF4-FFF2-40B4-BE49-F238E27FC236}">
              <a16:creationId xmlns:a16="http://schemas.microsoft.com/office/drawing/2014/main" id="{DCBD9F9D-C138-1F66-1966-B327D45E29A0}"/>
            </a:ext>
          </a:extLst>
        </xdr:cNvPr>
        <xdr:cNvSpPr txBox="1"/>
      </xdr:nvSpPr>
      <xdr:spPr>
        <a:xfrm>
          <a:off x="12289971" y="76201"/>
          <a:ext cx="1850571"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000" b="1">
              <a:latin typeface="Aparajita" panose="02020603050405020304" pitchFamily="18" charset="0"/>
              <a:cs typeface="Aparajita" panose="02020603050405020304" pitchFamily="18" charset="0"/>
            </a:rPr>
            <a:t>TOTAL ORDERS</a:t>
          </a:r>
        </a:p>
      </xdr:txBody>
    </xdr:sp>
    <xdr:clientData/>
  </xdr:twoCellAnchor>
  <xdr:twoCellAnchor>
    <xdr:from>
      <xdr:col>19</xdr:col>
      <xdr:colOff>522513</xdr:colOff>
      <xdr:row>14</xdr:row>
      <xdr:rowOff>108857</xdr:rowOff>
    </xdr:from>
    <xdr:to>
      <xdr:col>22</xdr:col>
      <xdr:colOff>587828</xdr:colOff>
      <xdr:row>19</xdr:row>
      <xdr:rowOff>32656</xdr:rowOff>
    </xdr:to>
    <xdr:sp macro="" textlink="">
      <xdr:nvSpPr>
        <xdr:cNvPr id="10" name="Rectangle: Rounded Corners 9">
          <a:extLst>
            <a:ext uri="{FF2B5EF4-FFF2-40B4-BE49-F238E27FC236}">
              <a16:creationId xmlns:a16="http://schemas.microsoft.com/office/drawing/2014/main" id="{94BA2B82-C837-4EED-86E6-6EF1DB70B306}"/>
            </a:ext>
          </a:extLst>
        </xdr:cNvPr>
        <xdr:cNvSpPr/>
      </xdr:nvSpPr>
      <xdr:spPr>
        <a:xfrm>
          <a:off x="12387942" y="2699657"/>
          <a:ext cx="1894115" cy="849085"/>
        </a:xfrm>
        <a:prstGeom prst="roundRect">
          <a:avLst/>
        </a:prstGeom>
        <a:solidFill>
          <a:schemeClr val="accent2"/>
        </a:solidFill>
        <a:ln>
          <a:solidFill>
            <a:srgbClr val="C00000"/>
          </a:solidFill>
        </a:ln>
        <a:effectLst>
          <a:outerShdw blurRad="50800" dist="38100" dir="5400000" algn="t" rotWithShape="0">
            <a:srgbClr val="C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solidFill>
          </a:endParaRPr>
        </a:p>
      </xdr:txBody>
    </xdr:sp>
    <xdr:clientData/>
  </xdr:twoCellAnchor>
  <xdr:twoCellAnchor editAs="oneCell">
    <xdr:from>
      <xdr:col>20</xdr:col>
      <xdr:colOff>21773</xdr:colOff>
      <xdr:row>6</xdr:row>
      <xdr:rowOff>65316</xdr:rowOff>
    </xdr:from>
    <xdr:to>
      <xdr:col>21</xdr:col>
      <xdr:colOff>54430</xdr:colOff>
      <xdr:row>9</xdr:row>
      <xdr:rowOff>152402</xdr:rowOff>
    </xdr:to>
    <xdr:pic>
      <xdr:nvPicPr>
        <xdr:cNvPr id="28" name="Graphic 27" descr="Downward trend graph with solid fill">
          <a:extLst>
            <a:ext uri="{FF2B5EF4-FFF2-40B4-BE49-F238E27FC236}">
              <a16:creationId xmlns:a16="http://schemas.microsoft.com/office/drawing/2014/main" id="{48D40964-FB59-6B04-FEA6-40DA1F5E5A8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496802" y="1175659"/>
          <a:ext cx="642257" cy="642257"/>
        </a:xfrm>
        <a:prstGeom prst="rect">
          <a:avLst/>
        </a:prstGeom>
      </xdr:spPr>
    </xdr:pic>
    <xdr:clientData/>
  </xdr:twoCellAnchor>
  <xdr:twoCellAnchor editAs="oneCell">
    <xdr:from>
      <xdr:col>20</xdr:col>
      <xdr:colOff>10885</xdr:colOff>
      <xdr:row>15</xdr:row>
      <xdr:rowOff>76198</xdr:rowOff>
    </xdr:from>
    <xdr:to>
      <xdr:col>21</xdr:col>
      <xdr:colOff>130627</xdr:colOff>
      <xdr:row>18</xdr:row>
      <xdr:rowOff>70532</xdr:rowOff>
    </xdr:to>
    <xdr:pic>
      <xdr:nvPicPr>
        <xdr:cNvPr id="34" name="Graphic 33" descr="Aquarius with solid fill">
          <a:extLst>
            <a:ext uri="{FF2B5EF4-FFF2-40B4-BE49-F238E27FC236}">
              <a16:creationId xmlns:a16="http://schemas.microsoft.com/office/drawing/2014/main" id="{7B39F96C-B81E-D958-97F4-8D4909F51D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2485914" y="2852055"/>
          <a:ext cx="729342" cy="549506"/>
        </a:xfrm>
        <a:prstGeom prst="rect">
          <a:avLst/>
        </a:prstGeom>
      </xdr:spPr>
    </xdr:pic>
    <xdr:clientData/>
  </xdr:twoCellAnchor>
  <xdr:twoCellAnchor>
    <xdr:from>
      <xdr:col>21</xdr:col>
      <xdr:colOff>174170</xdr:colOff>
      <xdr:row>6</xdr:row>
      <xdr:rowOff>10886</xdr:rowOff>
    </xdr:from>
    <xdr:to>
      <xdr:col>23</xdr:col>
      <xdr:colOff>21771</xdr:colOff>
      <xdr:row>7</xdr:row>
      <xdr:rowOff>163285</xdr:rowOff>
    </xdr:to>
    <xdr:sp macro="" textlink="">
      <xdr:nvSpPr>
        <xdr:cNvPr id="38" name="TextBox 37">
          <a:extLst>
            <a:ext uri="{FF2B5EF4-FFF2-40B4-BE49-F238E27FC236}">
              <a16:creationId xmlns:a16="http://schemas.microsoft.com/office/drawing/2014/main" id="{BC4A72D1-CB05-F462-6492-8B39268B64AB}"/>
            </a:ext>
          </a:extLst>
        </xdr:cNvPr>
        <xdr:cNvSpPr txBox="1"/>
      </xdr:nvSpPr>
      <xdr:spPr>
        <a:xfrm>
          <a:off x="13258799" y="1121229"/>
          <a:ext cx="1066801" cy="337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tx1"/>
              </a:solidFill>
              <a:latin typeface="Aparajita" panose="02020603050405020304" pitchFamily="18" charset="0"/>
              <a:cs typeface="Aparajita" panose="02020603050405020304" pitchFamily="18" charset="0"/>
            </a:rPr>
            <a:t>ROMI</a:t>
          </a:r>
        </a:p>
      </xdr:txBody>
    </xdr:sp>
    <xdr:clientData/>
  </xdr:twoCellAnchor>
  <xdr:twoCellAnchor>
    <xdr:from>
      <xdr:col>21</xdr:col>
      <xdr:colOff>217714</xdr:colOff>
      <xdr:row>7</xdr:row>
      <xdr:rowOff>152400</xdr:rowOff>
    </xdr:from>
    <xdr:to>
      <xdr:col>22</xdr:col>
      <xdr:colOff>522513</xdr:colOff>
      <xdr:row>9</xdr:row>
      <xdr:rowOff>163286</xdr:rowOff>
    </xdr:to>
    <xdr:sp macro="" textlink="Pivot_Table!A65">
      <xdr:nvSpPr>
        <xdr:cNvPr id="40" name="TextBox 39">
          <a:extLst>
            <a:ext uri="{FF2B5EF4-FFF2-40B4-BE49-F238E27FC236}">
              <a16:creationId xmlns:a16="http://schemas.microsoft.com/office/drawing/2014/main" id="{CD8D9143-F426-4B09-9A93-EFB520D09F34}"/>
            </a:ext>
          </a:extLst>
        </xdr:cNvPr>
        <xdr:cNvSpPr txBox="1"/>
      </xdr:nvSpPr>
      <xdr:spPr>
        <a:xfrm>
          <a:off x="13302343" y="1447800"/>
          <a:ext cx="91439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ECC7F27-3459-4FCF-88BC-1F5F631FE0CC}" type="TxLink">
            <a:rPr lang="en-US" sz="2800" b="1" i="0" u="none" strike="noStrike">
              <a:solidFill>
                <a:schemeClr val="tx1"/>
              </a:solidFill>
              <a:latin typeface="Aparajita" panose="02020603050405020304" pitchFamily="18" charset="0"/>
              <a:ea typeface="Calibri"/>
              <a:cs typeface="Aparajita" panose="02020603050405020304" pitchFamily="18" charset="0"/>
            </a:rPr>
            <a:pPr algn="r"/>
            <a:t>1.40</a:t>
          </a:fld>
          <a:endParaRPr lang="en-GB" sz="28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21</xdr:col>
      <xdr:colOff>217714</xdr:colOff>
      <xdr:row>16</xdr:row>
      <xdr:rowOff>152400</xdr:rowOff>
    </xdr:from>
    <xdr:to>
      <xdr:col>22</xdr:col>
      <xdr:colOff>587828</xdr:colOff>
      <xdr:row>19</xdr:row>
      <xdr:rowOff>-1</xdr:rowOff>
    </xdr:to>
    <xdr:sp macro="" textlink="Pivot_Table!A71">
      <xdr:nvSpPr>
        <xdr:cNvPr id="41" name="TextBox 40">
          <a:extLst>
            <a:ext uri="{FF2B5EF4-FFF2-40B4-BE49-F238E27FC236}">
              <a16:creationId xmlns:a16="http://schemas.microsoft.com/office/drawing/2014/main" id="{7868CBB9-9A4B-4E9D-931C-672922A99420}"/>
            </a:ext>
          </a:extLst>
        </xdr:cNvPr>
        <xdr:cNvSpPr txBox="1"/>
      </xdr:nvSpPr>
      <xdr:spPr>
        <a:xfrm>
          <a:off x="13302343" y="3113314"/>
          <a:ext cx="979714" cy="402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F6CBE191-5750-4084-B0F4-09C6C87F1A62}" type="TxLink">
            <a:rPr lang="en-US" sz="2400" b="1" i="0" u="none" strike="noStrike">
              <a:solidFill>
                <a:schemeClr val="tx1"/>
              </a:solidFill>
              <a:latin typeface="Aparajita" panose="02020603050405020304" pitchFamily="18" charset="0"/>
              <a:ea typeface="Calibri"/>
              <a:cs typeface="Aparajita" panose="02020603050405020304" pitchFamily="18" charset="0"/>
            </a:rPr>
            <a:pPr algn="r"/>
            <a:t> 3,803 </a:t>
          </a:fld>
          <a:endParaRPr lang="en-GB" sz="2400" b="1">
            <a:solidFill>
              <a:schemeClr val="tx1"/>
            </a:solidFill>
            <a:latin typeface="Aparajita" panose="02020603050405020304" pitchFamily="18" charset="0"/>
            <a:cs typeface="Aparajita" panose="02020603050405020304" pitchFamily="18" charset="0"/>
          </a:endParaRPr>
        </a:p>
      </xdr:txBody>
    </xdr:sp>
    <xdr:clientData/>
  </xdr:twoCellAnchor>
  <xdr:twoCellAnchor>
    <xdr:from>
      <xdr:col>21</xdr:col>
      <xdr:colOff>326572</xdr:colOff>
      <xdr:row>14</xdr:row>
      <xdr:rowOff>141515</xdr:rowOff>
    </xdr:from>
    <xdr:to>
      <xdr:col>22</xdr:col>
      <xdr:colOff>566057</xdr:colOff>
      <xdr:row>16</xdr:row>
      <xdr:rowOff>87087</xdr:rowOff>
    </xdr:to>
    <xdr:sp macro="" textlink="">
      <xdr:nvSpPr>
        <xdr:cNvPr id="42" name="TextBox 41">
          <a:extLst>
            <a:ext uri="{FF2B5EF4-FFF2-40B4-BE49-F238E27FC236}">
              <a16:creationId xmlns:a16="http://schemas.microsoft.com/office/drawing/2014/main" id="{ECAAD57B-688F-8038-B29B-C010932447DB}"/>
            </a:ext>
          </a:extLst>
        </xdr:cNvPr>
        <xdr:cNvSpPr txBox="1"/>
      </xdr:nvSpPr>
      <xdr:spPr>
        <a:xfrm>
          <a:off x="13411201" y="2732315"/>
          <a:ext cx="849085" cy="315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2400" b="1">
              <a:solidFill>
                <a:schemeClr val="tx1"/>
              </a:solidFill>
              <a:latin typeface="Aparajita" panose="02020603050405020304" pitchFamily="18" charset="0"/>
              <a:cs typeface="Aparajita" panose="02020603050405020304" pitchFamily="18" charset="0"/>
            </a:rPr>
            <a:t>CAC</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286444097219" createdVersion="8" refreshedVersion="8" minRefreshableVersion="3" recordCount="308" xr:uid="{0BCA3525-EDFF-44BD-A140-E74AF6C4ACAE}">
  <cacheSource type="worksheet">
    <worksheetSource name="Table1"/>
  </cacheSource>
  <cacheFields count="26">
    <cacheField name="id" numFmtId="3">
      <sharedItems containsSemiMixedTypes="0" containsString="0" containsNumber="1" containsInteger="1" minValue="1" maxValue="308"/>
    </cacheField>
    <cacheField name="c_date" numFmtId="14">
      <sharedItems containsSemiMixedTypes="0" containsNonDate="0" containsDate="1" containsString="0" minDate="2021-02-01T00:00:00" maxDate="2021-03-01T00:00:00"/>
    </cacheField>
    <cacheField name="Weekdays" numFmtId="0">
      <sharedItems count="7">
        <s v="Mon"/>
        <s v="Tue"/>
        <s v="Wed"/>
        <s v="Thu"/>
        <s v="Fri"/>
        <s v="Sat"/>
        <s v="Sun"/>
      </sharedItems>
    </cacheField>
    <cacheField name="category" numFmtId="0">
      <sharedItems count="4">
        <s v="social"/>
        <s v="search"/>
        <s v="influencer"/>
        <s v="media"/>
      </sharedItems>
    </cacheField>
    <cacheField name="campaign_id" numFmtId="3">
      <sharedItems containsSemiMixedTypes="0" containsString="0" containsNumber="1" containsInteger="1" minValue="10934" maxValue="89459845"/>
    </cacheField>
    <cacheField name="impressions" numFmtId="3">
      <sharedItems containsSemiMixedTypes="0" containsString="0" containsNumber="1" containsInteger="1" minValue="667" maxValue="419970000"/>
    </cacheField>
    <cacheField name="mark_spent" numFmtId="168">
      <sharedItems containsSemiMixedTypes="0" containsString="0" containsNumber="1" minValue="169.75" maxValue="880357"/>
    </cacheField>
    <cacheField name="clicks" numFmtId="3">
      <sharedItems containsSemiMixedTypes="0" containsString="0" containsNumber="1" containsInteger="1" minValue="20" maxValue="61195"/>
    </cacheField>
    <cacheField name="leads" numFmtId="3">
      <sharedItems containsSemiMixedTypes="0" containsString="0" containsNumber="1" containsInteger="1" minValue="0" maxValue="1678"/>
    </cacheField>
    <cacheField name="Orders" numFmtId="3">
      <sharedItems containsSemiMixedTypes="0" containsString="0" containsNumber="1" containsInteger="1" minValue="0" maxValue="369"/>
    </cacheField>
    <cacheField name="Revenue" numFmtId="168">
      <sharedItems containsSemiMixedTypes="0" containsString="0" containsNumber="1" containsInteger="1" minValue="0" maxValue="2812520"/>
    </cacheField>
    <cacheField name="ROMI 1" numFmtId="2">
      <sharedItems containsSemiMixedTypes="0" containsString="0" containsNumber="1" minValue="-0.95076482579400279" maxValue="5.593987313049003"/>
    </cacheField>
    <cacheField name="Click percentage" numFmtId="10">
      <sharedItems containsSemiMixedTypes="0" containsString="0" containsNumber="1" minValue="7.9424768592833953E-5" maxValue="3.3555917176364962E-2"/>
    </cacheField>
    <cacheField name="Conversion 1" numFmtId="10">
      <sharedItems containsSemiMixedTypes="0" containsString="0" containsNumber="1" minValue="0" maxValue="4.5454545454545463E-2"/>
    </cacheField>
    <cacheField name="Conversion 2I" numFmtId="10">
      <sharedItems containsSemiMixedTypes="0" containsString="0" containsNumber="1" minValue="0" maxValue="0.33333333333333331"/>
    </cacheField>
    <cacheField name="AOV1" numFmtId="4">
      <sharedItems containsSemiMixedTypes="0" containsString="0" containsNumber="1" minValue="0" maxValue="8980"/>
    </cacheField>
    <cacheField name="CPC" numFmtId="4">
      <sharedItems containsSemiMixedTypes="0" containsString="0" containsNumber="1" minValue="4.3053293856402657E-2" maxValue="54.772954924874789"/>
    </cacheField>
    <cacheField name="CPL1" numFmtId="4">
      <sharedItems containsSemiMixedTypes="0" containsString="0" containsNumber="1" minValue="0" maxValue="1694.859154929577"/>
    </cacheField>
    <cacheField name="CAC" numFmtId="4">
      <sharedItems containsSemiMixedTypes="0" containsString="0" containsNumber="1" minValue="0" maxValue="10104.9"/>
    </cacheField>
    <cacheField name="Gross profit" numFmtId="168">
      <sharedItems containsSemiMixedTypes="0" containsString="0" containsNumber="1" minValue="-360030" maxValue="1932163"/>
    </cacheField>
    <cacheField name="Days" numFmtId="0">
      <sharedItems count="2">
        <s v="weekday"/>
        <s v="weekend"/>
      </sharedItems>
    </cacheField>
    <cacheField name="Campaign_name" numFmtId="0">
      <sharedItems count="5">
        <s v="facebook"/>
        <s v="instagram"/>
        <s v="google"/>
        <s v="youtube"/>
        <s v="banner"/>
      </sharedItems>
    </cacheField>
    <cacheField name="Tier" numFmtId="0">
      <sharedItems count="8">
        <s v="tier1"/>
        <s v="tier2"/>
        <s v="retargeting"/>
        <s v="lal"/>
        <s v="hot"/>
        <s v="wide"/>
        <s v="blogger"/>
        <s v="partner"/>
      </sharedItems>
    </cacheField>
    <cacheField name="IsValid" numFmtId="0">
      <sharedItems/>
    </cacheField>
    <cacheField name="ROMI" numFmtId="0" formula="Revenue/mark_spent" databaseField="0"/>
    <cacheField name="Field1" numFmtId="0" formula="mark_spent/Orders" databaseField="0"/>
  </cacheFields>
  <extLst>
    <ext xmlns:x14="http://schemas.microsoft.com/office/spreadsheetml/2009/9/main" uri="{725AE2AE-9491-48be-B2B4-4EB974FC3084}">
      <x14:pivotCacheDefinition pivotCacheId="535578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8">
  <r>
    <n v="1"/>
    <d v="2021-02-01T00:00:00"/>
    <x v="0"/>
    <x v="0"/>
    <n v="349043"/>
    <n v="148263"/>
    <n v="7307.37"/>
    <n v="1210"/>
    <n v="13"/>
    <n v="1"/>
    <n v="4981"/>
    <n v="-0.31835940974659832"/>
    <n v="8.1611730505925274E-3"/>
    <n v="1.074380165289256E-2"/>
    <n v="7.6923076923076927E-2"/>
    <n v="4981"/>
    <n v="6.039148760330578"/>
    <n v="562.10538461538465"/>
    <n v="7307.37"/>
    <n v="2326.37"/>
    <x v="0"/>
    <x v="0"/>
    <x v="0"/>
    <b v="1"/>
  </r>
  <r>
    <n v="2"/>
    <d v="2021-02-01T00:00:00"/>
    <x v="0"/>
    <x v="0"/>
    <n v="348934"/>
    <n v="220688"/>
    <n v="16300.2"/>
    <n v="1640"/>
    <n v="48"/>
    <n v="3"/>
    <n v="14962"/>
    <n v="-8.209715218218186E-2"/>
    <n v="7.4313057347930112E-3"/>
    <n v="2.9268292682926831E-2"/>
    <n v="6.25E-2"/>
    <n v="4987.333333333333"/>
    <n v="9.9391463414634149"/>
    <n v="339.58749999999998"/>
    <n v="5433.4000000000005"/>
    <n v="-1338.2"/>
    <x v="0"/>
    <x v="0"/>
    <x v="1"/>
    <b v="1"/>
  </r>
  <r>
    <n v="8"/>
    <d v="2021-02-01T00:00:00"/>
    <x v="0"/>
    <x v="0"/>
    <n v="4387490"/>
    <n v="5544"/>
    <n v="1293.55"/>
    <n v="148"/>
    <n v="3"/>
    <n v="1"/>
    <n v="4981"/>
    <n v="2.8506435777511498"/>
    <n v="2.6695526695526699E-2"/>
    <n v="2.0270270270270271E-2"/>
    <n v="0.33333333333333331"/>
    <n v="4981"/>
    <n v="8.7402027027027032"/>
    <n v="431.18333333333328"/>
    <n v="1293.55"/>
    <n v="3687.45"/>
    <x v="0"/>
    <x v="0"/>
    <x v="2"/>
    <b v="1"/>
  </r>
  <r>
    <n v="9"/>
    <d v="2021-02-01T00:00:00"/>
    <x v="0"/>
    <x v="0"/>
    <n v="544756"/>
    <n v="56916"/>
    <n v="16997.8"/>
    <n v="596"/>
    <n v="14"/>
    <n v="2"/>
    <n v="4162"/>
    <n v="-0.75514478344256319"/>
    <n v="1.047157214140136E-2"/>
    <n v="2.3489932885906041E-2"/>
    <n v="0.14285714285714279"/>
    <n v="2081"/>
    <n v="28.51979865771812"/>
    <n v="1214.1285714285709"/>
    <n v="8498.9"/>
    <n v="-12835.8"/>
    <x v="0"/>
    <x v="0"/>
    <x v="3"/>
    <b v="1"/>
  </r>
  <r>
    <n v="12"/>
    <d v="2021-02-02T00:00:00"/>
    <x v="1"/>
    <x v="0"/>
    <n v="349043"/>
    <n v="478200"/>
    <n v="18385.3"/>
    <n v="2391"/>
    <n v="48"/>
    <n v="4"/>
    <n v="17812"/>
    <n v="-3.118252081826238E-2"/>
    <n v="5.0000000000000001E-3"/>
    <n v="2.0075282308657461E-2"/>
    <n v="8.3333333333333329E-2"/>
    <n v="4453"/>
    <n v="7.6893768297783351"/>
    <n v="383.02708333333328"/>
    <n v="4596.3249999999998"/>
    <n v="-573.29999999999927"/>
    <x v="0"/>
    <x v="0"/>
    <x v="0"/>
    <b v="1"/>
  </r>
  <r>
    <n v="13"/>
    <d v="2021-02-02T00:00:00"/>
    <x v="1"/>
    <x v="0"/>
    <n v="348934"/>
    <n v="957806"/>
    <n v="2198.0500000000002"/>
    <n v="3294"/>
    <n v="10"/>
    <n v="0"/>
    <n v="0"/>
    <n v="0"/>
    <n v="3.4391097988527952E-3"/>
    <n v="3.0358227079538549E-3"/>
    <n v="0"/>
    <n v="0"/>
    <n v="0.66728901032179722"/>
    <n v="219.80500000000001"/>
    <n v="0"/>
    <n v="0"/>
    <x v="0"/>
    <x v="0"/>
    <x v="1"/>
    <b v="1"/>
  </r>
  <r>
    <n v="19"/>
    <d v="2021-02-02T00:00:00"/>
    <x v="1"/>
    <x v="0"/>
    <n v="4387490"/>
    <n v="10033"/>
    <n v="169.75"/>
    <n v="301"/>
    <n v="0"/>
    <n v="0"/>
    <n v="0"/>
    <n v="0"/>
    <n v="3.000099671085418E-2"/>
    <n v="0"/>
    <n v="0"/>
    <n v="0"/>
    <n v="0.56395348837209303"/>
    <n v="0"/>
    <n v="0"/>
    <n v="0"/>
    <x v="0"/>
    <x v="0"/>
    <x v="2"/>
    <b v="1"/>
  </r>
  <r>
    <n v="20"/>
    <d v="2021-02-02T00:00:00"/>
    <x v="1"/>
    <x v="0"/>
    <n v="544756"/>
    <n v="107553"/>
    <n v="8829.07"/>
    <n v="1196"/>
    <n v="7"/>
    <n v="1"/>
    <n v="1129"/>
    <n v="-0.87212696240940435"/>
    <n v="1.11200989279704E-2"/>
    <n v="5.8528428093645481E-3"/>
    <n v="0.14285714285714279"/>
    <n v="1129"/>
    <n v="7.3821655518394644"/>
    <n v="1261.295714285714"/>
    <n v="8829.07"/>
    <n v="-7700.07"/>
    <x v="0"/>
    <x v="0"/>
    <x v="3"/>
    <b v="1"/>
  </r>
  <r>
    <n v="23"/>
    <d v="2021-02-03T00:00:00"/>
    <x v="2"/>
    <x v="0"/>
    <n v="349043"/>
    <n v="2313889"/>
    <n v="65284.4"/>
    <n v="7197"/>
    <n v="115"/>
    <n v="13"/>
    <n v="72527"/>
    <n v="0.1109392136559423"/>
    <n v="3.1103479898992562E-3"/>
    <n v="1.597888008892594E-2"/>
    <n v="0.11304347826086961"/>
    <n v="5579"/>
    <n v="9.0710573850215361"/>
    <n v="567.69043478260869"/>
    <n v="5021.876923076923"/>
    <n v="7242.5999999999995"/>
    <x v="0"/>
    <x v="0"/>
    <x v="0"/>
    <b v="1"/>
  </r>
  <r>
    <n v="24"/>
    <d v="2021-02-03T00:00:00"/>
    <x v="2"/>
    <x v="0"/>
    <n v="348934"/>
    <n v="1105666"/>
    <n v="78958.3"/>
    <n v="9898"/>
    <n v="226"/>
    <n v="12"/>
    <n v="59772"/>
    <n v="-0.24299282026082131"/>
    <n v="8.9520705167745046E-3"/>
    <n v="2.2832895534451409E-2"/>
    <n v="5.3097345132743362E-2"/>
    <n v="4981"/>
    <n v="7.9771974136189128"/>
    <n v="349.37300884955761"/>
    <n v="6579.8583333333336"/>
    <n v="-19186.3"/>
    <x v="0"/>
    <x v="0"/>
    <x v="1"/>
    <b v="1"/>
  </r>
  <r>
    <n v="30"/>
    <d v="2021-02-03T00:00:00"/>
    <x v="2"/>
    <x v="0"/>
    <n v="4387490"/>
    <n v="29867"/>
    <n v="5039.51"/>
    <n v="896"/>
    <n v="18"/>
    <n v="4"/>
    <n v="23560"/>
    <n v="3.6750576941012119"/>
    <n v="2.9999665182308229E-2"/>
    <n v="2.0089285714285719E-2"/>
    <n v="0.22222222222222221"/>
    <n v="5890"/>
    <n v="5.6244531249999996"/>
    <n v="279.97277777777782"/>
    <n v="1259.8775000000001"/>
    <n v="18520.490000000002"/>
    <x v="0"/>
    <x v="0"/>
    <x v="2"/>
    <b v="1"/>
  </r>
  <r>
    <n v="31"/>
    <d v="2021-02-03T00:00:00"/>
    <x v="2"/>
    <x v="0"/>
    <n v="544756"/>
    <n v="295009"/>
    <n v="76716.399999999994"/>
    <n v="3595"/>
    <n v="72"/>
    <n v="9"/>
    <n v="5607"/>
    <n v="-0.92691262885119741"/>
    <n v="1.2186068899592889E-2"/>
    <n v="2.002781641168289E-2"/>
    <n v="0.125"/>
    <n v="623"/>
    <n v="21.339749652294849"/>
    <n v="1065.505555555555"/>
    <n v="8524.0444444444438"/>
    <n v="-71109.399999999994"/>
    <x v="0"/>
    <x v="0"/>
    <x v="3"/>
    <b v="1"/>
  </r>
  <r>
    <n v="34"/>
    <d v="2021-02-04T00:00:00"/>
    <x v="3"/>
    <x v="0"/>
    <n v="349043"/>
    <n v="2475754"/>
    <n v="173914"/>
    <n v="9601"/>
    <n v="192"/>
    <n v="31"/>
    <n v="154411"/>
    <n v="-0.11214163322101731"/>
    <n v="3.8780104970041452E-3"/>
    <n v="1.999791688365795E-2"/>
    <n v="0.16145833333333329"/>
    <n v="4981"/>
    <n v="18.114154775544211"/>
    <n v="905.80208333333337"/>
    <n v="5610.1290322580644"/>
    <n v="-19503"/>
    <x v="0"/>
    <x v="0"/>
    <x v="0"/>
    <b v="1"/>
  </r>
  <r>
    <n v="35"/>
    <d v="2021-02-04T00:00:00"/>
    <x v="3"/>
    <x v="0"/>
    <n v="348934"/>
    <n v="4597702"/>
    <n v="115389"/>
    <n v="13206"/>
    <n v="143"/>
    <n v="17"/>
    <n v="82909"/>
    <n v="-0.28148263699312759"/>
    <n v="2.8723044686236729E-3"/>
    <n v="1.082841132818416E-2"/>
    <n v="0.11888111888111889"/>
    <n v="4877"/>
    <n v="8.737619263970922"/>
    <n v="806.91608391608395"/>
    <n v="6787.588235294118"/>
    <n v="-32480"/>
    <x v="0"/>
    <x v="0"/>
    <x v="1"/>
    <b v="1"/>
  </r>
  <r>
    <n v="41"/>
    <d v="2021-02-04T00:00:00"/>
    <x v="3"/>
    <x v="0"/>
    <n v="4387490"/>
    <n v="43160"/>
    <n v="885.75"/>
    <n v="1194"/>
    <n v="4"/>
    <n v="1"/>
    <n v="5287"/>
    <n v="4.9689528648038381"/>
    <n v="2.7664504170528272E-2"/>
    <n v="3.350083752093802E-3"/>
    <n v="0.25"/>
    <n v="5287"/>
    <n v="0.74183417085427139"/>
    <n v="221.4375"/>
    <n v="885.75"/>
    <n v="4401.25"/>
    <x v="0"/>
    <x v="0"/>
    <x v="2"/>
    <b v="1"/>
  </r>
  <r>
    <n v="42"/>
    <d v="2021-02-04T00:00:00"/>
    <x v="3"/>
    <x v="0"/>
    <n v="544756"/>
    <n v="432611"/>
    <n v="120335"/>
    <n v="4807"/>
    <n v="71"/>
    <n v="13"/>
    <n v="6864"/>
    <n v="-0.94295923879170651"/>
    <n v="1.111159910404497E-2"/>
    <n v="1.477012689827335E-2"/>
    <n v="0.18309859154929581"/>
    <n v="528"/>
    <n v="25.033284793010189"/>
    <n v="1694.859154929577"/>
    <n v="9256.538461538461"/>
    <n v="-113471"/>
    <x v="0"/>
    <x v="0"/>
    <x v="3"/>
    <b v="1"/>
  </r>
  <r>
    <n v="45"/>
    <d v="2021-02-05T00:00:00"/>
    <x v="4"/>
    <x v="0"/>
    <n v="349043"/>
    <n v="3462883"/>
    <n v="90691.7"/>
    <n v="11997"/>
    <n v="143"/>
    <n v="17"/>
    <n v="84677"/>
    <n v="-6.6320291713574647E-2"/>
    <n v="3.4644543289507621E-3"/>
    <n v="1.191964657831125E-2"/>
    <n v="0.11888111888111889"/>
    <n v="4981"/>
    <n v="7.5595315495540554"/>
    <n v="634.20769230769224"/>
    <n v="5334.8058823529409"/>
    <n v="-6014.6999999999971"/>
    <x v="0"/>
    <x v="0"/>
    <x v="0"/>
    <b v="1"/>
  </r>
  <r>
    <n v="46"/>
    <d v="2021-02-05T00:00:00"/>
    <x v="4"/>
    <x v="0"/>
    <n v="348934"/>
    <n v="3299600"/>
    <n v="261047"/>
    <n v="16498"/>
    <n v="330"/>
    <n v="42"/>
    <n v="209202"/>
    <n v="-0.19860408278968919"/>
    <n v="5.0000000000000001E-3"/>
    <n v="2.000242453630743E-2"/>
    <n v="0.12727272727272729"/>
    <n v="4981"/>
    <n v="15.822948236149839"/>
    <n v="791.0515151515151"/>
    <n v="6215.4047619047606"/>
    <n v="-51845"/>
    <x v="0"/>
    <x v="0"/>
    <x v="1"/>
    <b v="1"/>
  </r>
  <r>
    <n v="52"/>
    <d v="2021-02-05T00:00:00"/>
    <x v="4"/>
    <x v="0"/>
    <n v="4387490"/>
    <n v="48954"/>
    <n v="6790.74"/>
    <n v="1505"/>
    <n v="30"/>
    <n v="5"/>
    <n v="27060"/>
    <n v="2.984838176693557"/>
    <n v="3.074314662744617E-2"/>
    <n v="1.993355481727575E-2"/>
    <n v="0.16666666666666671"/>
    <n v="5412"/>
    <n v="4.5121196013289033"/>
    <n v="226.358"/>
    <n v="1358.1479999999999"/>
    <n v="20269.259999999998"/>
    <x v="0"/>
    <x v="0"/>
    <x v="2"/>
    <b v="1"/>
  </r>
  <r>
    <n v="53"/>
    <d v="2021-02-05T00:00:00"/>
    <x v="4"/>
    <x v="0"/>
    <n v="544756"/>
    <n v="600400"/>
    <n v="192789"/>
    <n v="6004"/>
    <n v="120"/>
    <n v="21"/>
    <n v="9492"/>
    <n v="-0.95076482579400279"/>
    <n v="0.01"/>
    <n v="1.9986675549633581E-2"/>
    <n v="0.17499999999999999"/>
    <n v="452"/>
    <n v="32.110093271152557"/>
    <n v="1606.575"/>
    <n v="9180.4285714285706"/>
    <n v="-183297"/>
    <x v="0"/>
    <x v="0"/>
    <x v="3"/>
    <b v="1"/>
  </r>
  <r>
    <n v="78"/>
    <d v="2021-02-08T00:00:00"/>
    <x v="0"/>
    <x v="0"/>
    <n v="349043"/>
    <n v="479000"/>
    <n v="27210.400000000001"/>
    <n v="2395"/>
    <n v="36"/>
    <n v="5"/>
    <n v="22345"/>
    <n v="-0.17880663275806311"/>
    <n v="5.0000000000000001E-3"/>
    <n v="1.503131524008351E-2"/>
    <n v="0.1388888888888889"/>
    <n v="4469"/>
    <n v="11.36133611691023"/>
    <n v="755.84444444444443"/>
    <n v="5442.08"/>
    <n v="-4865.4000000000005"/>
    <x v="0"/>
    <x v="0"/>
    <x v="0"/>
    <b v="1"/>
  </r>
  <r>
    <n v="79"/>
    <d v="2021-02-08T00:00:00"/>
    <x v="0"/>
    <x v="0"/>
    <n v="348934"/>
    <n v="472656"/>
    <n v="33752.800000000003"/>
    <n v="3290"/>
    <n v="66"/>
    <n v="5"/>
    <n v="28670"/>
    <n v="-0.15058898817283309"/>
    <n v="6.9606648386987572E-3"/>
    <n v="2.0060790273556232E-2"/>
    <n v="7.575757575757576E-2"/>
    <n v="5734"/>
    <n v="10.259209726443769"/>
    <n v="511.40606060606058"/>
    <n v="6750.56"/>
    <n v="-5082.8000000000029"/>
    <x v="0"/>
    <x v="0"/>
    <x v="1"/>
    <b v="1"/>
  </r>
  <r>
    <n v="85"/>
    <d v="2021-02-08T00:00:00"/>
    <x v="0"/>
    <x v="0"/>
    <n v="4387490"/>
    <n v="10067"/>
    <n v="4336.04"/>
    <n v="302"/>
    <n v="10"/>
    <n v="2"/>
    <n v="10036"/>
    <n v="1.314554293779578"/>
    <n v="2.999900665540876E-2"/>
    <n v="3.3112582781456963E-2"/>
    <n v="0.2"/>
    <n v="5018"/>
    <n v="14.35774834437086"/>
    <n v="433.60399999999998"/>
    <n v="2168.02"/>
    <n v="5699.96"/>
    <x v="0"/>
    <x v="0"/>
    <x v="2"/>
    <b v="1"/>
  </r>
  <r>
    <n v="86"/>
    <d v="2021-02-08T00:00:00"/>
    <x v="0"/>
    <x v="0"/>
    <n v="544756"/>
    <n v="120200"/>
    <n v="40099"/>
    <n v="1202"/>
    <n v="24"/>
    <n v="5"/>
    <n v="4905"/>
    <n v="-0.87767774757475248"/>
    <n v="0.01"/>
    <n v="1.996672212978369E-2"/>
    <n v="0.20833333333333329"/>
    <n v="981"/>
    <n v="33.360232945091511"/>
    <n v="1670.791666666667"/>
    <n v="8019.8"/>
    <n v="-35194"/>
    <x v="0"/>
    <x v="0"/>
    <x v="3"/>
    <b v="1"/>
  </r>
  <r>
    <n v="89"/>
    <d v="2021-02-09T00:00:00"/>
    <x v="1"/>
    <x v="0"/>
    <n v="349043"/>
    <n v="478600"/>
    <n v="49036.5"/>
    <n v="2393"/>
    <n v="68"/>
    <n v="9"/>
    <n v="42813"/>
    <n v="-0.1269156648618886"/>
    <n v="5.0000000000000001E-3"/>
    <n v="2.8416213957375681E-2"/>
    <n v="0.13235294117647059"/>
    <n v="4757"/>
    <n v="20.491642290012539"/>
    <n v="721.125"/>
    <n v="5448.5"/>
    <n v="-6223.5"/>
    <x v="0"/>
    <x v="0"/>
    <x v="0"/>
    <b v="1"/>
  </r>
  <r>
    <n v="90"/>
    <d v="2021-02-09T00:00:00"/>
    <x v="1"/>
    <x v="0"/>
    <n v="348934"/>
    <n v="555116"/>
    <n v="62119.4"/>
    <n v="3303"/>
    <n v="96"/>
    <n v="11"/>
    <n v="54791"/>
    <n v="-0.1179728072067663"/>
    <n v="5.9501077252322038E-3"/>
    <n v="2.9064486830154401E-2"/>
    <n v="0.1145833333333333"/>
    <n v="4981"/>
    <n v="18.806963366636388"/>
    <n v="647.07708333333335"/>
    <n v="5647.2181818181816"/>
    <n v="-7328.4000000000005"/>
    <x v="0"/>
    <x v="0"/>
    <x v="1"/>
    <b v="1"/>
  </r>
  <r>
    <n v="96"/>
    <d v="2021-02-09T00:00:00"/>
    <x v="1"/>
    <x v="0"/>
    <n v="4387490"/>
    <n v="9721"/>
    <n v="2152.37"/>
    <n v="290"/>
    <n v="6"/>
    <n v="1"/>
    <n v="4353"/>
    <n v="1.022421795509137"/>
    <n v="2.98323217775949E-2"/>
    <n v="2.0689655172413789E-2"/>
    <n v="0.16666666666666671"/>
    <n v="4353"/>
    <n v="7.4219655172413788"/>
    <n v="358.7283333333333"/>
    <n v="2152.37"/>
    <n v="2200.63"/>
    <x v="0"/>
    <x v="0"/>
    <x v="2"/>
    <b v="1"/>
  </r>
  <r>
    <n v="97"/>
    <d v="2021-02-09T00:00:00"/>
    <x v="1"/>
    <x v="0"/>
    <n v="544756"/>
    <n v="189854"/>
    <n v="29091.4"/>
    <n v="1198"/>
    <n v="24"/>
    <n v="3"/>
    <n v="2943"/>
    <n v="-0.89883608214111388"/>
    <n v="6.3101119807852353E-3"/>
    <n v="2.003338898163606E-2"/>
    <n v="0.125"/>
    <n v="981"/>
    <n v="24.283305509181972"/>
    <n v="1212.1416666666671"/>
    <n v="9697.1333333333332"/>
    <n v="-26148.400000000001"/>
    <x v="0"/>
    <x v="0"/>
    <x v="3"/>
    <b v="1"/>
  </r>
  <r>
    <n v="100"/>
    <d v="2021-02-10T00:00:00"/>
    <x v="2"/>
    <x v="0"/>
    <n v="349043"/>
    <n v="961800"/>
    <n v="43386.400000000001"/>
    <n v="4809"/>
    <n v="96"/>
    <n v="8"/>
    <n v="42400"/>
    <n v="-2.273523500451758E-2"/>
    <n v="5.0000000000000001E-3"/>
    <n v="1.9962570180910789E-2"/>
    <n v="8.3333333333333329E-2"/>
    <n v="5300"/>
    <n v="9.0219172385111257"/>
    <n v="451.94166666666672"/>
    <n v="5423.3"/>
    <n v="-986.40000000000146"/>
    <x v="0"/>
    <x v="0"/>
    <x v="0"/>
    <b v="1"/>
  </r>
  <r>
    <n v="101"/>
    <d v="2021-02-10T00:00:00"/>
    <x v="2"/>
    <x v="0"/>
    <n v="348934"/>
    <n v="852250"/>
    <n v="43865.9"/>
    <n v="6596"/>
    <n v="132"/>
    <n v="7"/>
    <n v="34867"/>
    <n v="-0.20514568263731059"/>
    <n v="7.7395130536814316E-3"/>
    <n v="2.0012128562765311E-2"/>
    <n v="5.3030303030303032E-2"/>
    <n v="4981"/>
    <n v="6.6503790175864159"/>
    <n v="332.31742424242418"/>
    <n v="6266.5571428571429"/>
    <n v="-8998.9000000000015"/>
    <x v="0"/>
    <x v="0"/>
    <x v="1"/>
    <b v="1"/>
  </r>
  <r>
    <n v="107"/>
    <d v="2021-02-10T00:00:00"/>
    <x v="2"/>
    <x v="0"/>
    <n v="4387490"/>
    <n v="18399"/>
    <n v="12713"/>
    <n v="599"/>
    <n v="22"/>
    <n v="5"/>
    <n v="27065"/>
    <n v="1.1289231495319749"/>
    <n v="3.2556117180281542E-2"/>
    <n v="3.6727879799666109E-2"/>
    <n v="0.22727272727272729"/>
    <n v="5413"/>
    <n v="21.223706176961599"/>
    <n v="577.86363636363637"/>
    <n v="2542.6"/>
    <n v="14352"/>
    <x v="0"/>
    <x v="0"/>
    <x v="2"/>
    <b v="1"/>
  </r>
  <r>
    <n v="108"/>
    <d v="2021-02-10T00:00:00"/>
    <x v="2"/>
    <x v="0"/>
    <n v="544756"/>
    <n v="321713"/>
    <n v="131236"/>
    <n v="2396"/>
    <n v="88"/>
    <n v="15"/>
    <n v="14715"/>
    <n v="-0.88787375415282388"/>
    <n v="7.4476318955093513E-3"/>
    <n v="3.6727879799666109E-2"/>
    <n v="0.17045454545454539"/>
    <n v="981"/>
    <n v="54.772954924874789"/>
    <n v="1491.318181818182"/>
    <n v="8749.0666666666675"/>
    <n v="-116521"/>
    <x v="0"/>
    <x v="0"/>
    <x v="3"/>
    <b v="1"/>
  </r>
  <r>
    <n v="111"/>
    <d v="2021-02-11T00:00:00"/>
    <x v="3"/>
    <x v="0"/>
    <n v="349043"/>
    <n v="1061233"/>
    <n v="105681"/>
    <n v="7206"/>
    <n v="144"/>
    <n v="23"/>
    <n v="105225"/>
    <n v="-4.3148721151389556E-3"/>
    <n v="6.7902147784699492E-3"/>
    <n v="1.9983347210657781E-2"/>
    <n v="0.15972222222222221"/>
    <n v="4575"/>
    <n v="14.66569525395504"/>
    <n v="733.89583333333337"/>
    <n v="4594.826086956522"/>
    <n v="-456"/>
    <x v="0"/>
    <x v="0"/>
    <x v="0"/>
    <b v="1"/>
  </r>
  <r>
    <n v="112"/>
    <d v="2021-02-11T00:00:00"/>
    <x v="3"/>
    <x v="0"/>
    <n v="348934"/>
    <n v="4564542"/>
    <n v="188516"/>
    <n v="9895"/>
    <n v="304"/>
    <n v="28"/>
    <n v="131068"/>
    <n v="-0.30473805936896597"/>
    <n v="2.1677969005433621E-3"/>
    <n v="3.0722587165234971E-2"/>
    <n v="9.2105263157894732E-2"/>
    <n v="4681"/>
    <n v="19.05164224355735"/>
    <n v="620.11842105263156"/>
    <n v="6732.7142857142853"/>
    <n v="-57448"/>
    <x v="0"/>
    <x v="0"/>
    <x v="1"/>
    <b v="1"/>
  </r>
  <r>
    <n v="118"/>
    <d v="2021-02-11T00:00:00"/>
    <x v="3"/>
    <x v="0"/>
    <n v="4387490"/>
    <n v="26774"/>
    <n v="17711.099999999999"/>
    <n v="893"/>
    <n v="27"/>
    <n v="6"/>
    <n v="29886"/>
    <n v="0.68741636600775802"/>
    <n v="3.3353253156046911E-2"/>
    <n v="3.0235162374020162E-2"/>
    <n v="0.22222222222222221"/>
    <n v="4981"/>
    <n v="19.833258678611418"/>
    <n v="655.96666666666658"/>
    <n v="2951.85"/>
    <n v="12174.9"/>
    <x v="0"/>
    <x v="0"/>
    <x v="2"/>
    <b v="1"/>
  </r>
  <r>
    <n v="119"/>
    <d v="2021-02-11T00:00:00"/>
    <x v="3"/>
    <x v="0"/>
    <n v="544756"/>
    <n v="359500"/>
    <n v="6171.15"/>
    <n v="3595"/>
    <n v="5"/>
    <n v="1"/>
    <n v="677"/>
    <n v="-0.89029597400808602"/>
    <n v="0.01"/>
    <n v="1.3908205841446451E-3"/>
    <n v="0.2"/>
    <n v="677"/>
    <n v="1.716592489568846"/>
    <n v="1234.23"/>
    <n v="6171.15"/>
    <n v="-5494.15"/>
    <x v="0"/>
    <x v="0"/>
    <x v="3"/>
    <b v="1"/>
  </r>
  <r>
    <n v="122"/>
    <d v="2021-02-12T00:00:00"/>
    <x v="4"/>
    <x v="0"/>
    <n v="349043"/>
    <n v="1804868"/>
    <n v="110004"/>
    <n v="9607"/>
    <n v="192"/>
    <n v="23"/>
    <n v="96163"/>
    <n v="-0.12582269735645979"/>
    <n v="5.3228269324958949E-3"/>
    <n v="1.998542729259915E-2"/>
    <n v="0.1197916666666667"/>
    <n v="4181"/>
    <n v="11.45040074945352"/>
    <n v="572.9375"/>
    <n v="4782.782608695652"/>
    <n v="-13841"/>
    <x v="0"/>
    <x v="0"/>
    <x v="0"/>
    <b v="1"/>
  </r>
  <r>
    <n v="123"/>
    <d v="2021-02-12T00:00:00"/>
    <x v="4"/>
    <x v="0"/>
    <n v="348934"/>
    <n v="2639200"/>
    <n v="191722"/>
    <n v="13196"/>
    <n v="325"/>
    <n v="32"/>
    <n v="176512"/>
    <n v="-7.9333618468407377E-2"/>
    <n v="5.0000000000000001E-3"/>
    <n v="2.4628675356168531E-2"/>
    <n v="9.8461538461538461E-2"/>
    <n v="5516"/>
    <n v="14.528796605031831"/>
    <n v="589.91384615384618"/>
    <n v="5991.3125"/>
    <n v="-15210"/>
    <x v="0"/>
    <x v="0"/>
    <x v="1"/>
    <b v="1"/>
  </r>
  <r>
    <n v="129"/>
    <d v="2021-02-12T00:00:00"/>
    <x v="4"/>
    <x v="0"/>
    <n v="4387490"/>
    <n v="42587"/>
    <n v="11278.3"/>
    <n v="1207"/>
    <n v="34"/>
    <n v="8"/>
    <n v="39848"/>
    <n v="2.5331565927489068"/>
    <n v="2.834198229506657E-2"/>
    <n v="2.8169014084507039E-2"/>
    <n v="0.23529411764705879"/>
    <n v="4981"/>
    <n v="9.3440762220381099"/>
    <n v="331.71470588235292"/>
    <n v="1409.7874999999999"/>
    <n v="28569.7"/>
    <x v="0"/>
    <x v="0"/>
    <x v="2"/>
    <b v="1"/>
  </r>
  <r>
    <n v="130"/>
    <d v="2021-02-12T00:00:00"/>
    <x v="4"/>
    <x v="0"/>
    <n v="544756"/>
    <n v="480000"/>
    <n v="44580.9"/>
    <n v="4800"/>
    <n v="33"/>
    <n v="5"/>
    <n v="6945"/>
    <n v="-0.84421579645094647"/>
    <n v="0.01"/>
    <n v="6.875E-3"/>
    <n v="0.15151515151515149"/>
    <n v="1389"/>
    <n v="9.2876875000000005"/>
    <n v="1350.9363636363639"/>
    <n v="8916.18"/>
    <n v="-37635.9"/>
    <x v="0"/>
    <x v="0"/>
    <x v="3"/>
    <b v="1"/>
  </r>
  <r>
    <n v="155"/>
    <d v="2021-02-15T00:00:00"/>
    <x v="0"/>
    <x v="0"/>
    <n v="349043"/>
    <n v="3361800"/>
    <n v="168064"/>
    <n v="16809"/>
    <n v="247"/>
    <n v="30"/>
    <n v="149430"/>
    <n v="-0.11087442878903279"/>
    <n v="5.0000000000000001E-3"/>
    <n v="1.4694508894044859E-2"/>
    <n v="0.1214574898785425"/>
    <n v="4981"/>
    <n v="9.9984532095901013"/>
    <n v="680.42105263157896"/>
    <n v="5602.1333333333332"/>
    <n v="-18634"/>
    <x v="0"/>
    <x v="0"/>
    <x v="0"/>
    <b v="1"/>
  </r>
  <r>
    <n v="156"/>
    <d v="2021-02-15T00:00:00"/>
    <x v="0"/>
    <x v="0"/>
    <n v="348934"/>
    <n v="3441545"/>
    <n v="593576"/>
    <n v="23103"/>
    <n v="694"/>
    <n v="81"/>
    <n v="403461"/>
    <n v="-0.32028754531854392"/>
    <n v="6.7129733884054984E-3"/>
    <n v="3.003938882396226E-2"/>
    <n v="0.11671469740634011"/>
    <n v="4981"/>
    <n v="25.69259403540666"/>
    <n v="855.29682997118152"/>
    <n v="7328.0987654320988"/>
    <n v="-190115"/>
    <x v="0"/>
    <x v="0"/>
    <x v="1"/>
    <b v="1"/>
  </r>
  <r>
    <n v="162"/>
    <d v="2021-02-15T00:00:00"/>
    <x v="0"/>
    <x v="0"/>
    <n v="4387490"/>
    <n v="63986"/>
    <n v="14609.5"/>
    <n v="2099"/>
    <n v="28"/>
    <n v="5"/>
    <n v="24905"/>
    <n v="0.70471268695027212"/>
    <n v="3.2804050886131343E-2"/>
    <n v="1.3339685564554549E-2"/>
    <n v="0.1785714285714286"/>
    <n v="4981"/>
    <n v="6.9602191519771317"/>
    <n v="521.76785714285711"/>
    <n v="2921.9"/>
    <n v="10295.5"/>
    <x v="0"/>
    <x v="0"/>
    <x v="2"/>
    <b v="1"/>
  </r>
  <r>
    <n v="163"/>
    <d v="2021-02-15T00:00:00"/>
    <x v="0"/>
    <x v="0"/>
    <n v="544756"/>
    <n v="1093435"/>
    <n v="6587.76"/>
    <n v="8402"/>
    <n v="4"/>
    <n v="1"/>
    <n v="741"/>
    <n v="-0.88751867098983572"/>
    <n v="7.6840415754022874E-3"/>
    <n v="4.7607712449416811E-4"/>
    <n v="0.25"/>
    <n v="741"/>
    <n v="0.78407045941442521"/>
    <n v="1646.94"/>
    <n v="6587.76"/>
    <n v="-5846.76"/>
    <x v="0"/>
    <x v="0"/>
    <x v="3"/>
    <b v="1"/>
  </r>
  <r>
    <n v="166"/>
    <d v="2021-02-16T00:00:00"/>
    <x v="1"/>
    <x v="0"/>
    <n v="349043"/>
    <n v="3839000"/>
    <n v="393027"/>
    <n v="19195"/>
    <n v="384"/>
    <n v="64"/>
    <n v="336448"/>
    <n v="-0.1439570309418946"/>
    <n v="5.0000000000000001E-3"/>
    <n v="2.0005209690023441E-2"/>
    <n v="0.16666666666666671"/>
    <n v="5257"/>
    <n v="20.475488408439698"/>
    <n v="1023.5078125"/>
    <n v="6141.046875"/>
    <n v="-56579"/>
    <x v="0"/>
    <x v="0"/>
    <x v="0"/>
    <b v="1"/>
  </r>
  <r>
    <n v="167"/>
    <d v="2021-02-16T00:00:00"/>
    <x v="1"/>
    <x v="0"/>
    <n v="348934"/>
    <n v="5280000"/>
    <n v="595176"/>
    <n v="26400"/>
    <n v="923"/>
    <n v="80"/>
    <n v="392160"/>
    <n v="-0.34110246380902448"/>
    <n v="5.0000000000000001E-3"/>
    <n v="3.4962121212121222E-2"/>
    <n v="8.6673889490790898E-2"/>
    <n v="4902"/>
    <n v="22.54454545454545"/>
    <n v="644.82773564463707"/>
    <n v="7439.7"/>
    <n v="-203016"/>
    <x v="0"/>
    <x v="0"/>
    <x v="1"/>
    <b v="1"/>
  </r>
  <r>
    <n v="173"/>
    <d v="2021-02-16T00:00:00"/>
    <x v="1"/>
    <x v="0"/>
    <n v="4387490"/>
    <n v="80233"/>
    <n v="31712"/>
    <n v="2407"/>
    <n v="48"/>
    <n v="12"/>
    <n v="59772"/>
    <n v="0.88483854692230068"/>
    <n v="3.0000124636994752E-2"/>
    <n v="1.994183631076028E-2"/>
    <n v="0.25"/>
    <n v="4981"/>
    <n v="13.17490652264229"/>
    <n v="660.66666666666663"/>
    <n v="2642.666666666667"/>
    <n v="28060"/>
    <x v="0"/>
    <x v="0"/>
    <x v="2"/>
    <b v="1"/>
  </r>
  <r>
    <n v="174"/>
    <d v="2021-02-16T00:00:00"/>
    <x v="1"/>
    <x v="0"/>
    <n v="544756"/>
    <n v="1576818"/>
    <n v="345629"/>
    <n v="9597"/>
    <n v="292"/>
    <n v="39"/>
    <n v="25857"/>
    <n v="-0.92518856924621484"/>
    <n v="6.086307994962006E-3"/>
    <n v="3.042617484630614E-2"/>
    <n v="0.13356164383561639"/>
    <n v="663"/>
    <n v="36.014275294362832"/>
    <n v="1183.66095890411"/>
    <n v="8862.2820512820508"/>
    <n v="-319772"/>
    <x v="0"/>
    <x v="0"/>
    <x v="3"/>
    <b v="1"/>
  </r>
  <r>
    <n v="177"/>
    <d v="2021-02-17T00:00:00"/>
    <x v="2"/>
    <x v="0"/>
    <n v="349043"/>
    <n v="4320600"/>
    <n v="489831"/>
    <n v="21603"/>
    <n v="652"/>
    <n v="86"/>
    <n v="428366"/>
    <n v="-0.1254820540145479"/>
    <n v="5.0000000000000001E-3"/>
    <n v="3.0180993380548998E-2"/>
    <n v="0.13190184049079751"/>
    <n v="4981"/>
    <n v="22.674211915011799"/>
    <n v="751.27453987730064"/>
    <n v="5695.7093023255811"/>
    <n v="-61465"/>
    <x v="0"/>
    <x v="0"/>
    <x v="0"/>
    <b v="1"/>
  </r>
  <r>
    <n v="178"/>
    <d v="2021-02-17T00:00:00"/>
    <x v="2"/>
    <x v="0"/>
    <n v="348934"/>
    <n v="6102420"/>
    <n v="403691"/>
    <n v="29704"/>
    <n v="594"/>
    <n v="61"/>
    <n v="303841"/>
    <n v="-0.24734264573646669"/>
    <n v="4.8675771251405183E-3"/>
    <n v="1.9997306760032321E-2"/>
    <n v="0.1026936026936027"/>
    <n v="4981"/>
    <n v="13.590459197414489"/>
    <n v="679.61447811447806"/>
    <n v="6617.8852459016398"/>
    <n v="-99850"/>
    <x v="0"/>
    <x v="0"/>
    <x v="1"/>
    <b v="1"/>
  </r>
  <r>
    <n v="184"/>
    <d v="2021-02-17T00:00:00"/>
    <x v="2"/>
    <x v="0"/>
    <n v="4387490"/>
    <n v="84332"/>
    <n v="31422.5"/>
    <n v="2698"/>
    <n v="54"/>
    <n v="11"/>
    <n v="45441"/>
    <n v="0.44612936590023072"/>
    <n v="3.1992600673528437E-2"/>
    <n v="2.0014825796886581E-2"/>
    <n v="0.20370370370370369"/>
    <n v="4131"/>
    <n v="11.64659006671609"/>
    <n v="581.89814814814815"/>
    <n v="2856.590909090909"/>
    <n v="14018.5"/>
    <x v="0"/>
    <x v="0"/>
    <x v="2"/>
    <b v="1"/>
  </r>
  <r>
    <n v="185"/>
    <d v="2021-02-17T00:00:00"/>
    <x v="2"/>
    <x v="0"/>
    <n v="544756"/>
    <n v="1361187"/>
    <n v="291254"/>
    <n v="10810"/>
    <n v="216"/>
    <n v="32"/>
    <n v="31392"/>
    <n v="-0.89221778928358064"/>
    <n v="7.9415980317179054E-3"/>
    <n v="1.9981498612395929E-2"/>
    <n v="0.14814814814814811"/>
    <n v="981"/>
    <n v="26.943015726179461"/>
    <n v="1348.398148148148"/>
    <n v="9101.6875"/>
    <n v="-259862"/>
    <x v="0"/>
    <x v="0"/>
    <x v="3"/>
    <b v="1"/>
  </r>
  <r>
    <n v="188"/>
    <d v="2021-02-18T00:00:00"/>
    <x v="3"/>
    <x v="0"/>
    <n v="349043"/>
    <n v="4798200"/>
    <n v="30892.2"/>
    <n v="23991"/>
    <n v="61"/>
    <n v="6"/>
    <n v="25686"/>
    <n v="-0.1685279779361781"/>
    <n v="5.0000000000000001E-3"/>
    <n v="2.5426201492226249E-3"/>
    <n v="9.8360655737704916E-2"/>
    <n v="4281"/>
    <n v="1.2876578717018881"/>
    <n v="506.42950819672132"/>
    <n v="5148.7"/>
    <n v="-5206.2000000000007"/>
    <x v="0"/>
    <x v="0"/>
    <x v="0"/>
    <b v="1"/>
  </r>
  <r>
    <n v="189"/>
    <d v="2021-02-18T00:00:00"/>
    <x v="3"/>
    <x v="0"/>
    <n v="348934"/>
    <n v="4678356"/>
    <n v="373294"/>
    <n v="33003"/>
    <n v="1313"/>
    <n v="51"/>
    <n v="237711"/>
    <n v="-0.36320701645351922"/>
    <n v="7.0544011614336322E-3"/>
    <n v="3.9784262036784528E-2"/>
    <n v="3.8842345773038842E-2"/>
    <n v="4661"/>
    <n v="11.310911129291281"/>
    <n v="284.30616907844632"/>
    <n v="7319.4901960784309"/>
    <n v="-135583"/>
    <x v="0"/>
    <x v="0"/>
    <x v="1"/>
    <b v="1"/>
  </r>
  <r>
    <n v="195"/>
    <d v="2021-02-18T00:00:00"/>
    <x v="3"/>
    <x v="0"/>
    <n v="4387490"/>
    <n v="97885"/>
    <n v="17176.7"/>
    <n v="2991"/>
    <n v="28"/>
    <n v="6"/>
    <n v="33930"/>
    <n v="0.97535032922505482"/>
    <n v="3.0556265004852631E-2"/>
    <n v="9.3614175860916079E-3"/>
    <n v="0.2142857142857143"/>
    <n v="5655"/>
    <n v="5.7427950518221333"/>
    <n v="613.45357142857142"/>
    <n v="2862.7833333333328"/>
    <n v="16753.3"/>
    <x v="0"/>
    <x v="0"/>
    <x v="2"/>
    <b v="1"/>
  </r>
  <r>
    <n v="196"/>
    <d v="2021-02-18T00:00:00"/>
    <x v="3"/>
    <x v="0"/>
    <n v="544756"/>
    <n v="1181224"/>
    <n v="171831"/>
    <n v="11991"/>
    <n v="128"/>
    <n v="19"/>
    <n v="17917"/>
    <n v="-0.89572894297303751"/>
    <n v="1.0151334547892689E-2"/>
    <n v="1.0674672671170039E-2"/>
    <n v="0.1484375"/>
    <n v="943"/>
    <n v="14.329997498123589"/>
    <n v="1342.4296875"/>
    <n v="9043.7368421052633"/>
    <n v="-153914"/>
    <x v="0"/>
    <x v="0"/>
    <x v="3"/>
    <b v="1"/>
  </r>
  <r>
    <n v="199"/>
    <d v="2021-02-19T00:00:00"/>
    <x v="4"/>
    <x v="0"/>
    <n v="349043"/>
    <n v="15345139"/>
    <n v="53253.9"/>
    <n v="26407"/>
    <n v="71"/>
    <n v="10"/>
    <n v="44550"/>
    <n v="-0.16344155075966271"/>
    <n v="1.720870693970253E-3"/>
    <n v="2.6886810315446658E-3"/>
    <n v="0.14084507042253519"/>
    <n v="4455"/>
    <n v="2.0166584617715002"/>
    <n v="750.0549295774648"/>
    <n v="5325.39"/>
    <n v="-8703.9000000000015"/>
    <x v="0"/>
    <x v="0"/>
    <x v="0"/>
    <b v="1"/>
  </r>
  <r>
    <n v="200"/>
    <d v="2021-02-19T00:00:00"/>
    <x v="4"/>
    <x v="0"/>
    <n v="348934"/>
    <n v="7260800"/>
    <n v="415376"/>
    <n v="36304"/>
    <n v="726"/>
    <n v="58"/>
    <n v="288898"/>
    <n v="-0.30449038943029932"/>
    <n v="5.0000000000000001E-3"/>
    <n v="1.9997796386073161E-2"/>
    <n v="7.9889807162534437E-2"/>
    <n v="4981"/>
    <n v="11.44160423093874"/>
    <n v="572.14325068870528"/>
    <n v="7161.6551724137926"/>
    <n v="-126478"/>
    <x v="0"/>
    <x v="0"/>
    <x v="1"/>
    <b v="1"/>
  </r>
  <r>
    <n v="206"/>
    <d v="2021-02-19T00:00:00"/>
    <x v="4"/>
    <x v="0"/>
    <n v="4387490"/>
    <n v="115166"/>
    <n v="3173.41"/>
    <n v="3297"/>
    <n v="7"/>
    <n v="1"/>
    <n v="5199"/>
    <n v="0.63830075533889419"/>
    <n v="2.8628240973898551E-2"/>
    <n v="2.123142250530786E-3"/>
    <n v="0.14285714285714279"/>
    <n v="5199"/>
    <n v="0.96251440703669999"/>
    <n v="453.34428571428572"/>
    <n v="3173.41"/>
    <n v="2025.59"/>
    <x v="0"/>
    <x v="0"/>
    <x v="2"/>
    <b v="1"/>
  </r>
  <r>
    <n v="207"/>
    <d v="2021-02-19T00:00:00"/>
    <x v="4"/>
    <x v="0"/>
    <n v="544756"/>
    <n v="1320200"/>
    <n v="440355"/>
    <n v="13202"/>
    <n v="264"/>
    <n v="45"/>
    <n v="80325"/>
    <n v="-0.81759035323772866"/>
    <n v="0.01"/>
    <n v="1.999697015603696E-2"/>
    <n v="0.17045454545454539"/>
    <n v="1785"/>
    <n v="33.355173458566881"/>
    <n v="1668.011363636364"/>
    <n v="9785.6666666666661"/>
    <n v="-360030"/>
    <x v="0"/>
    <x v="0"/>
    <x v="3"/>
    <b v="1"/>
  </r>
  <r>
    <n v="232"/>
    <d v="2021-02-22T00:00:00"/>
    <x v="0"/>
    <x v="0"/>
    <n v="349043"/>
    <n v="605386"/>
    <n v="59710"/>
    <n v="4802"/>
    <n v="96"/>
    <n v="12"/>
    <n v="67632"/>
    <n v="0.1326745938703735"/>
    <n v="7.9321292530715945E-3"/>
    <n v="1.999167013744273E-2"/>
    <n v="0.125"/>
    <n v="5636"/>
    <n v="12.43440233236152"/>
    <n v="621.97916666666663"/>
    <n v="4975.833333333333"/>
    <n v="7922"/>
    <x v="0"/>
    <x v="0"/>
    <x v="0"/>
    <b v="1"/>
  </r>
  <r>
    <n v="233"/>
    <d v="2021-02-22T00:00:00"/>
    <x v="0"/>
    <x v="0"/>
    <n v="348934"/>
    <n v="2090371"/>
    <n v="95536.2"/>
    <n v="6606"/>
    <n v="132"/>
    <n v="14"/>
    <n v="69734"/>
    <n v="-0.27007772969827137"/>
    <n v="3.1602045761254822E-3"/>
    <n v="1.998183469573115E-2"/>
    <n v="0.10606060606060611"/>
    <n v="4981"/>
    <n v="14.462034514078111"/>
    <n v="723.7590909090909"/>
    <n v="6824.0142857142864"/>
    <n v="-25802.2"/>
    <x v="0"/>
    <x v="0"/>
    <x v="1"/>
    <b v="1"/>
  </r>
  <r>
    <n v="239"/>
    <d v="2021-02-22T00:00:00"/>
    <x v="0"/>
    <x v="0"/>
    <n v="4387490"/>
    <n v="17821"/>
    <n v="5792.48"/>
    <n v="598"/>
    <n v="12"/>
    <n v="3"/>
    <n v="12168"/>
    <n v="1.100654641880507"/>
    <n v="3.3555917176364962E-2"/>
    <n v="2.006688963210702E-2"/>
    <n v="0.25"/>
    <n v="4056"/>
    <n v="9.6864214046822728"/>
    <n v="482.70666666666659"/>
    <n v="1930.8266666666671"/>
    <n v="6375.52"/>
    <x v="0"/>
    <x v="0"/>
    <x v="2"/>
    <b v="1"/>
  </r>
  <r>
    <n v="240"/>
    <d v="2021-02-22T00:00:00"/>
    <x v="0"/>
    <x v="0"/>
    <n v="544756"/>
    <n v="239600"/>
    <n v="51783.3"/>
    <n v="2396"/>
    <n v="48"/>
    <n v="6"/>
    <n v="5886"/>
    <n v="-0.88633401115803745"/>
    <n v="0.01"/>
    <n v="2.003338898163606E-2"/>
    <n v="0.125"/>
    <n v="981"/>
    <n v="21.612395659432391"/>
    <n v="1078.8187499999999"/>
    <n v="8630.5500000000011"/>
    <n v="-45897.3"/>
    <x v="0"/>
    <x v="0"/>
    <x v="3"/>
    <b v="1"/>
  </r>
  <r>
    <n v="243"/>
    <d v="2021-02-23T00:00:00"/>
    <x v="1"/>
    <x v="0"/>
    <n v="349043"/>
    <n v="924525"/>
    <n v="9858.2800000000007"/>
    <n v="1203"/>
    <n v="28"/>
    <n v="2"/>
    <n v="9962"/>
    <n v="1.052110510149837E-2"/>
    <n v="1.301208728806685E-3"/>
    <n v="2.3275145469659191E-2"/>
    <n v="7.1428571428571425E-2"/>
    <n v="4981"/>
    <n v="8.1947464671654195"/>
    <n v="352.0814285714286"/>
    <n v="4929.1400000000003"/>
    <n v="103.7199999999993"/>
    <x v="0"/>
    <x v="0"/>
    <x v="0"/>
    <b v="1"/>
  </r>
  <r>
    <n v="244"/>
    <d v="2021-02-23T00:00:00"/>
    <x v="1"/>
    <x v="0"/>
    <n v="348934"/>
    <n v="475992"/>
    <n v="19350"/>
    <n v="1641"/>
    <n v="37"/>
    <n v="3"/>
    <n v="12225"/>
    <n v="-0.36821705426356588"/>
    <n v="3.447536933393839E-3"/>
    <n v="2.2547227300426569E-2"/>
    <n v="8.1081081081081086E-2"/>
    <n v="4075"/>
    <n v="11.791590493601459"/>
    <n v="522.97297297297303"/>
    <n v="6450"/>
    <n v="-7125"/>
    <x v="0"/>
    <x v="0"/>
    <x v="1"/>
    <b v="1"/>
  </r>
  <r>
    <n v="250"/>
    <d v="2021-02-23T00:00:00"/>
    <x v="1"/>
    <x v="0"/>
    <n v="4387490"/>
    <n v="4908"/>
    <n v="1238.0899999999999"/>
    <n v="155"/>
    <n v="3"/>
    <n v="1"/>
    <n v="5265"/>
    <n v="3.252517991422271"/>
    <n v="3.1581092094539527E-2"/>
    <n v="1.935483870967742E-2"/>
    <n v="0.33333333333333331"/>
    <n v="5265"/>
    <n v="7.9876774193548394"/>
    <n v="412.69666666666672"/>
    <n v="1238.0899999999999"/>
    <n v="4026.91"/>
    <x v="0"/>
    <x v="0"/>
    <x v="2"/>
    <b v="1"/>
  </r>
  <r>
    <n v="251"/>
    <d v="2021-02-23T00:00:00"/>
    <x v="1"/>
    <x v="0"/>
    <n v="544756"/>
    <n v="60800"/>
    <n v="16078.6"/>
    <n v="608"/>
    <n v="12"/>
    <n v="2"/>
    <n v="2720"/>
    <n v="-0.83083104250370055"/>
    <n v="0.01"/>
    <n v="1.973684210526316E-2"/>
    <n v="0.16666666666666671"/>
    <n v="1360"/>
    <n v="26.445065789473681"/>
    <n v="1339.883333333333"/>
    <n v="8039.3"/>
    <n v="-13358.6"/>
    <x v="0"/>
    <x v="0"/>
    <x v="3"/>
    <b v="1"/>
  </r>
  <r>
    <n v="254"/>
    <d v="2021-02-24T00:00:00"/>
    <x v="2"/>
    <x v="0"/>
    <n v="349043"/>
    <n v="479596"/>
    <n v="94564.2"/>
    <n v="2408"/>
    <n v="93"/>
    <n v="15"/>
    <n v="81825"/>
    <n v="-0.13471482865608761"/>
    <n v="5.0208925845920318E-3"/>
    <n v="3.8621262458471757E-2"/>
    <n v="0.16129032258064521"/>
    <n v="5455"/>
    <n v="39.270847176079727"/>
    <n v="1016.81935483871"/>
    <n v="6304.28"/>
    <n v="-12739.2"/>
    <x v="0"/>
    <x v="0"/>
    <x v="0"/>
    <b v="1"/>
  </r>
  <r>
    <n v="255"/>
    <d v="2021-02-24T00:00:00"/>
    <x v="2"/>
    <x v="0"/>
    <n v="348934"/>
    <n v="395127"/>
    <n v="44347.199999999997"/>
    <n v="3297"/>
    <n v="66"/>
    <n v="7"/>
    <n v="34867"/>
    <n v="-0.21377223364722009"/>
    <n v="8.3441526395310883E-3"/>
    <n v="2.001819836214741E-2"/>
    <n v="0.10606060606060611"/>
    <n v="4981"/>
    <n v="13.45077343039126"/>
    <n v="671.92727272727268"/>
    <n v="6335.3142857142857"/>
    <n v="-9480.1999999999971"/>
    <x v="0"/>
    <x v="0"/>
    <x v="1"/>
    <b v="1"/>
  </r>
  <r>
    <n v="261"/>
    <d v="2021-02-24T00:00:00"/>
    <x v="2"/>
    <x v="0"/>
    <n v="4387490"/>
    <n v="8966"/>
    <n v="2857.1"/>
    <n v="297"/>
    <n v="6"/>
    <n v="1"/>
    <n v="4981"/>
    <n v="0.7433761506422597"/>
    <n v="3.3125139415569931E-2"/>
    <n v="2.02020202020202E-2"/>
    <n v="0.16666666666666671"/>
    <n v="4981"/>
    <n v="9.619865319865319"/>
    <n v="476.18333333333328"/>
    <n v="2857.1"/>
    <n v="2123.9"/>
    <x v="0"/>
    <x v="0"/>
    <x v="2"/>
    <b v="1"/>
  </r>
  <r>
    <n v="262"/>
    <d v="2021-02-24T00:00:00"/>
    <x v="2"/>
    <x v="0"/>
    <n v="544756"/>
    <n v="148794"/>
    <n v="48796.6"/>
    <n v="1196"/>
    <n v="38"/>
    <n v="6"/>
    <n v="8178"/>
    <n v="-0.83240635618055359"/>
    <n v="8.0379585198327892E-3"/>
    <n v="3.177257525083612E-2"/>
    <n v="0.15789473684210531"/>
    <n v="1363"/>
    <n v="40.799832775919732"/>
    <n v="1284.121052631579"/>
    <n v="8132.7666666666664"/>
    <n v="-40618.6"/>
    <x v="0"/>
    <x v="0"/>
    <x v="3"/>
    <b v="1"/>
  </r>
  <r>
    <n v="265"/>
    <d v="2021-02-25T00:00:00"/>
    <x v="3"/>
    <x v="0"/>
    <n v="349043"/>
    <n v="94600"/>
    <n v="11230.2"/>
    <n v="473"/>
    <n v="15"/>
    <n v="2"/>
    <n v="10104"/>
    <n v="-0.1002831650371321"/>
    <n v="5.0000000000000001E-3"/>
    <n v="3.1712473572938688E-2"/>
    <n v="0.1333333333333333"/>
    <n v="5052"/>
    <n v="23.742494714587739"/>
    <n v="748.68000000000006"/>
    <n v="5615.1"/>
    <n v="-1126.200000000001"/>
    <x v="0"/>
    <x v="0"/>
    <x v="0"/>
    <b v="1"/>
  </r>
  <r>
    <n v="266"/>
    <d v="2021-02-25T00:00:00"/>
    <x v="3"/>
    <x v="0"/>
    <n v="348934"/>
    <n v="131400"/>
    <n v="10357"/>
    <n v="657"/>
    <n v="13"/>
    <n v="2"/>
    <n v="9962"/>
    <n v="-3.8138457082166649E-2"/>
    <n v="5.0000000000000001E-3"/>
    <n v="1.9786910197869101E-2"/>
    <n v="0.15384615384615391"/>
    <n v="4981"/>
    <n v="15.764079147640791"/>
    <n v="796.69230769230774"/>
    <n v="5178.5"/>
    <n v="-395"/>
    <x v="0"/>
    <x v="0"/>
    <x v="1"/>
    <b v="1"/>
  </r>
  <r>
    <n v="272"/>
    <d v="2021-02-25T00:00:00"/>
    <x v="3"/>
    <x v="0"/>
    <n v="4387490"/>
    <n v="2214"/>
    <n v="1487.47"/>
    <n v="66"/>
    <n v="3"/>
    <n v="1"/>
    <n v="4461"/>
    <n v="1.999052081722656"/>
    <n v="2.9810298102981029E-2"/>
    <n v="4.5454545454545463E-2"/>
    <n v="0.33333333333333331"/>
    <n v="4461"/>
    <n v="22.53742424242424"/>
    <n v="495.82333333333332"/>
    <n v="1487.47"/>
    <n v="2973.53"/>
    <x v="0"/>
    <x v="0"/>
    <x v="2"/>
    <b v="1"/>
  </r>
  <r>
    <n v="273"/>
    <d v="2021-02-25T00:00:00"/>
    <x v="3"/>
    <x v="0"/>
    <n v="544756"/>
    <n v="25000"/>
    <n v="5871.29"/>
    <n v="250"/>
    <n v="5"/>
    <n v="1"/>
    <n v="981"/>
    <n v="-0.83291576467863115"/>
    <n v="0.01"/>
    <n v="0.02"/>
    <n v="0.2"/>
    <n v="981"/>
    <n v="23.48516"/>
    <n v="1174.258"/>
    <n v="5871.29"/>
    <n v="-4890.29"/>
    <x v="0"/>
    <x v="0"/>
    <x v="3"/>
    <b v="1"/>
  </r>
  <r>
    <n v="276"/>
    <d v="2021-02-26T00:00:00"/>
    <x v="4"/>
    <x v="0"/>
    <n v="349043"/>
    <n v="168408"/>
    <n v="19887.7"/>
    <n v="1207"/>
    <n v="39"/>
    <n v="4"/>
    <n v="22488"/>
    <n v="0.1307491565138251"/>
    <n v="7.1671179516412534E-3"/>
    <n v="3.2311516155758079E-2"/>
    <n v="0.1025641025641026"/>
    <n v="5622"/>
    <n v="16.47696768848385"/>
    <n v="509.94102564102559"/>
    <n v="4971.9250000000002"/>
    <n v="2600.2999999999988"/>
    <x v="0"/>
    <x v="0"/>
    <x v="0"/>
    <b v="1"/>
  </r>
  <r>
    <n v="277"/>
    <d v="2021-02-26T00:00:00"/>
    <x v="4"/>
    <x v="0"/>
    <n v="348934"/>
    <n v="438858"/>
    <n v="17935.400000000001"/>
    <n v="1657"/>
    <n v="33"/>
    <n v="3"/>
    <n v="15345"/>
    <n v="-0.1444294523679428"/>
    <n v="3.7757087714021388E-3"/>
    <n v="1.9915509957754981E-2"/>
    <n v="9.0909090909090912E-2"/>
    <n v="5115"/>
    <n v="10.824019312009661"/>
    <n v="543.4969696969697"/>
    <n v="5978.4666666666672"/>
    <n v="-2590.400000000001"/>
    <x v="0"/>
    <x v="0"/>
    <x v="1"/>
    <b v="1"/>
  </r>
  <r>
    <n v="283"/>
    <d v="2021-02-26T00:00:00"/>
    <x v="4"/>
    <x v="0"/>
    <n v="4387490"/>
    <n v="4906"/>
    <n v="1071.1600000000001"/>
    <n v="143"/>
    <n v="3"/>
    <n v="1"/>
    <n v="4981"/>
    <n v="3.6500989581388401"/>
    <n v="2.914798206278027E-2"/>
    <n v="2.097902097902098E-2"/>
    <n v="0.33333333333333331"/>
    <n v="4981"/>
    <n v="7.490629370629371"/>
    <n v="357.05333333333328"/>
    <n v="1071.1600000000001"/>
    <n v="3909.84"/>
    <x v="0"/>
    <x v="0"/>
    <x v="2"/>
    <b v="1"/>
  </r>
  <r>
    <n v="284"/>
    <d v="2021-02-26T00:00:00"/>
    <x v="4"/>
    <x v="0"/>
    <n v="544756"/>
    <n v="55269"/>
    <n v="315.92"/>
    <n v="610"/>
    <n v="0"/>
    <n v="0"/>
    <n v="0"/>
    <n v="0"/>
    <n v="1.10369284770848E-2"/>
    <n v="0"/>
    <n v="0"/>
    <n v="0"/>
    <n v="0.51790163934426237"/>
    <n v="0"/>
    <n v="0"/>
    <n v="0"/>
    <x v="0"/>
    <x v="0"/>
    <x v="3"/>
    <b v="1"/>
  </r>
  <r>
    <n v="56"/>
    <d v="2021-02-06T00:00:00"/>
    <x v="5"/>
    <x v="0"/>
    <n v="349043"/>
    <n v="310024"/>
    <n v="40407.9"/>
    <n v="2391"/>
    <n v="76"/>
    <n v="9"/>
    <n v="46152"/>
    <n v="0.1421528958446244"/>
    <n v="7.7123061440404614E-3"/>
    <n v="3.1785863655374322E-2"/>
    <n v="0.1184210526315789"/>
    <n v="5128"/>
    <n v="16.899999999999999"/>
    <n v="531.68289473684217"/>
    <n v="4489.7666666666664"/>
    <n v="5744.0999999999995"/>
    <x v="1"/>
    <x v="0"/>
    <x v="0"/>
    <b v="1"/>
  </r>
  <r>
    <n v="57"/>
    <d v="2021-02-06T00:00:00"/>
    <x v="5"/>
    <x v="0"/>
    <n v="348934"/>
    <n v="448321"/>
    <n v="62272.6"/>
    <n v="3302"/>
    <n v="108"/>
    <n v="9"/>
    <n v="44829"/>
    <n v="-0.28011677688100378"/>
    <n v="7.3652583751374571E-3"/>
    <n v="3.2707450030284677E-2"/>
    <n v="8.3333333333333329E-2"/>
    <n v="4981"/>
    <n v="18.859055118110231"/>
    <n v="576.59814814814808"/>
    <n v="6919.1777777777779"/>
    <n v="-17443.599999999999"/>
    <x v="1"/>
    <x v="0"/>
    <x v="1"/>
    <b v="1"/>
  </r>
  <r>
    <n v="63"/>
    <d v="2021-02-06T00:00:00"/>
    <x v="5"/>
    <x v="0"/>
    <n v="4387490"/>
    <n v="10200"/>
    <n v="1420.15"/>
    <n v="306"/>
    <n v="6"/>
    <n v="1"/>
    <n v="5492"/>
    <n v="2.867197127064042"/>
    <n v="0.03"/>
    <n v="1.9607843137254902E-2"/>
    <n v="0.16666666666666671"/>
    <n v="5492"/>
    <n v="4.6410130718954248"/>
    <n v="236.69166666666669"/>
    <n v="1420.15"/>
    <n v="4071.85"/>
    <x v="1"/>
    <x v="0"/>
    <x v="2"/>
    <b v="1"/>
  </r>
  <r>
    <n v="64"/>
    <d v="2021-02-06T00:00:00"/>
    <x v="5"/>
    <x v="0"/>
    <n v="544756"/>
    <n v="119700"/>
    <n v="29281"/>
    <n v="1197"/>
    <n v="24"/>
    <n v="4"/>
    <n v="6428"/>
    <n v="-0.78047197841603766"/>
    <n v="0.01"/>
    <n v="2.005012531328321E-2"/>
    <n v="0.16666666666666671"/>
    <n v="1607"/>
    <n v="24.46198830409357"/>
    <n v="1220.041666666667"/>
    <n v="7320.25"/>
    <n v="-22853"/>
    <x v="1"/>
    <x v="0"/>
    <x v="3"/>
    <b v="1"/>
  </r>
  <r>
    <n v="67"/>
    <d v="2021-02-07T00:00:00"/>
    <x v="6"/>
    <x v="0"/>
    <n v="349043"/>
    <n v="478000"/>
    <n v="27314.400000000001"/>
    <n v="2390"/>
    <n v="45"/>
    <n v="5"/>
    <n v="24905"/>
    <n v="-8.8209881967021106E-2"/>
    <n v="5.0000000000000001E-3"/>
    <n v="1.8828451882845189E-2"/>
    <n v="0.1111111111111111"/>
    <n v="4981"/>
    <n v="11.428619246861929"/>
    <n v="606.98666666666668"/>
    <n v="5462.88"/>
    <n v="-2409.400000000001"/>
    <x v="1"/>
    <x v="0"/>
    <x v="0"/>
    <b v="1"/>
  </r>
  <r>
    <n v="68"/>
    <d v="2021-02-07T00:00:00"/>
    <x v="6"/>
    <x v="0"/>
    <n v="348934"/>
    <n v="659000"/>
    <n v="38485.599999999999"/>
    <n v="3295"/>
    <n v="66"/>
    <n v="5"/>
    <n v="23735"/>
    <n v="-0.38327582264535298"/>
    <n v="5.0000000000000001E-3"/>
    <n v="2.0030349013657061E-2"/>
    <n v="7.575757575757576E-2"/>
    <n v="4747"/>
    <n v="11.68"/>
    <n v="583.11515151515152"/>
    <n v="7697.12"/>
    <n v="-14750.6"/>
    <x v="1"/>
    <x v="0"/>
    <x v="1"/>
    <b v="1"/>
  </r>
  <r>
    <n v="74"/>
    <d v="2021-02-07T00:00:00"/>
    <x v="6"/>
    <x v="0"/>
    <n v="4387490"/>
    <n v="9938"/>
    <n v="3435.44"/>
    <n v="294"/>
    <n v="6"/>
    <n v="1"/>
    <n v="4981"/>
    <n v="0.44988705959062009"/>
    <n v="2.9583417186556649E-2"/>
    <n v="2.0408163265306121E-2"/>
    <n v="0.16666666666666671"/>
    <n v="4981"/>
    <n v="11.68517006802721"/>
    <n v="572.57333333333338"/>
    <n v="3435.44"/>
    <n v="1545.56"/>
    <x v="1"/>
    <x v="0"/>
    <x v="2"/>
    <b v="1"/>
  </r>
  <r>
    <n v="75"/>
    <d v="2021-02-07T00:00:00"/>
    <x v="6"/>
    <x v="0"/>
    <n v="544756"/>
    <n v="174221"/>
    <n v="10104.9"/>
    <n v="1197"/>
    <n v="6"/>
    <n v="1"/>
    <n v="981"/>
    <n v="-0.90291838612950148"/>
    <n v="6.8705839135351074E-3"/>
    <n v="5.0125313283208017E-3"/>
    <n v="0.16666666666666671"/>
    <n v="981"/>
    <n v="8.4418546365914793"/>
    <n v="1684.15"/>
    <n v="10104.9"/>
    <n v="-9123.9"/>
    <x v="1"/>
    <x v="0"/>
    <x v="3"/>
    <b v="1"/>
  </r>
  <r>
    <n v="133"/>
    <d v="2021-02-13T00:00:00"/>
    <x v="5"/>
    <x v="0"/>
    <n v="349043"/>
    <n v="1496322"/>
    <n v="308692"/>
    <n v="11990"/>
    <n v="397"/>
    <n v="60"/>
    <n v="341880"/>
    <n v="0.10751169450455469"/>
    <n v="8.0129811631453659E-3"/>
    <n v="3.311092577147623E-2"/>
    <n v="0.15113350125944591"/>
    <n v="5698"/>
    <n v="25.745788156797332"/>
    <n v="777.56171284634763"/>
    <n v="5144.8666666666668"/>
    <n v="33188"/>
    <x v="1"/>
    <x v="0"/>
    <x v="0"/>
    <b v="1"/>
  </r>
  <r>
    <n v="134"/>
    <d v="2021-02-13T00:00:00"/>
    <x v="5"/>
    <x v="0"/>
    <n v="348934"/>
    <n v="2358224"/>
    <n v="325444"/>
    <n v="16506"/>
    <n v="655"/>
    <n v="52"/>
    <n v="262184"/>
    <n v="-0.19438060004178909"/>
    <n v="6.9993350928495342E-3"/>
    <n v="3.968253968253968E-2"/>
    <n v="7.9389312977099238E-2"/>
    <n v="5042"/>
    <n v="19.716709075487699"/>
    <n v="496.86106870229008"/>
    <n v="6258.5384615384619"/>
    <n v="-63260"/>
    <x v="1"/>
    <x v="0"/>
    <x v="1"/>
    <b v="1"/>
  </r>
  <r>
    <n v="140"/>
    <d v="2021-02-13T00:00:00"/>
    <x v="5"/>
    <x v="0"/>
    <n v="4387490"/>
    <n v="50333"/>
    <n v="8367.08"/>
    <n v="1510"/>
    <n v="19"/>
    <n v="4"/>
    <n v="18828"/>
    <n v="1.2502473981365061"/>
    <n v="3.0000198676812431E-2"/>
    <n v="1.2582781456953639E-2"/>
    <n v="0.2105263157894737"/>
    <n v="4707"/>
    <n v="5.5411125827814569"/>
    <n v="440.37263157894739"/>
    <n v="2091.77"/>
    <n v="10460.92"/>
    <x v="1"/>
    <x v="0"/>
    <x v="2"/>
    <b v="1"/>
  </r>
  <r>
    <n v="141"/>
    <d v="2021-02-13T00:00:00"/>
    <x v="5"/>
    <x v="0"/>
    <n v="544756"/>
    <n v="495013"/>
    <n v="171332"/>
    <n v="6006"/>
    <n v="128"/>
    <n v="19"/>
    <n v="24035"/>
    <n v="-0.8597168071346859"/>
    <n v="1.2133014688503131E-2"/>
    <n v="2.1312021312021309E-2"/>
    <n v="0.1484375"/>
    <n v="1265"/>
    <n v="28.526806526806531"/>
    <n v="1338.53125"/>
    <n v="9017.4736842105267"/>
    <n v="-147297"/>
    <x v="1"/>
    <x v="0"/>
    <x v="3"/>
    <b v="1"/>
  </r>
  <r>
    <n v="144"/>
    <d v="2021-02-14T00:00:00"/>
    <x v="6"/>
    <x v="0"/>
    <n v="349043"/>
    <n v="2452315"/>
    <n v="60244.9"/>
    <n v="14406"/>
    <n v="110"/>
    <n v="14"/>
    <n v="63560"/>
    <n v="5.5027064531603477E-2"/>
    <n v="5.8744492448971689E-3"/>
    <n v="7.6357073441621548E-3"/>
    <n v="0.12727272727272729"/>
    <n v="4540"/>
    <n v="4.1819311398028596"/>
    <n v="547.68090909090915"/>
    <n v="4303.2071428571426"/>
    <n v="3315.099999999999"/>
    <x v="1"/>
    <x v="0"/>
    <x v="0"/>
    <b v="1"/>
  </r>
  <r>
    <n v="145"/>
    <d v="2021-02-14T00:00:00"/>
    <x v="6"/>
    <x v="0"/>
    <n v="348934"/>
    <n v="7936534"/>
    <n v="197948"/>
    <n v="19797"/>
    <n v="396"/>
    <n v="30"/>
    <n v="149430"/>
    <n v="-0.24510477499141189"/>
    <n v="2.4944138083450528E-3"/>
    <n v="2.0003030762236699E-2"/>
    <n v="7.575757575757576E-2"/>
    <n v="4981"/>
    <n v="9.9988887205132091"/>
    <n v="499.86868686868689"/>
    <n v="6598.2666666666664"/>
    <n v="-48518"/>
    <x v="1"/>
    <x v="0"/>
    <x v="1"/>
    <b v="1"/>
  </r>
  <r>
    <n v="151"/>
    <d v="2021-02-14T00:00:00"/>
    <x v="6"/>
    <x v="0"/>
    <n v="4387490"/>
    <n v="55495"/>
    <n v="4764.34"/>
    <n v="1790"/>
    <n v="10"/>
    <n v="2"/>
    <n v="10902"/>
    <n v="1.2882497890578759"/>
    <n v="3.2255158122353363E-2"/>
    <n v="5.5865921787709499E-3"/>
    <n v="0.2"/>
    <n v="5451"/>
    <n v="2.6616424581005589"/>
    <n v="476.43400000000003"/>
    <n v="2382.17"/>
    <n v="6137.66"/>
    <x v="1"/>
    <x v="0"/>
    <x v="2"/>
    <b v="1"/>
  </r>
  <r>
    <n v="152"/>
    <d v="2021-02-14T00:00:00"/>
    <x v="6"/>
    <x v="0"/>
    <n v="544756"/>
    <n v="605220"/>
    <n v="170719"/>
    <n v="7205"/>
    <n v="142"/>
    <n v="21"/>
    <n v="14280"/>
    <n v="-0.91635377433091803"/>
    <n v="1.1904761904761901E-2"/>
    <n v="1.9708535739070089E-2"/>
    <n v="0.147887323943662"/>
    <n v="680"/>
    <n v="23.694517696044411"/>
    <n v="1202.24647887324"/>
    <n v="8129.4761904761908"/>
    <n v="-156439"/>
    <x v="1"/>
    <x v="0"/>
    <x v="3"/>
    <b v="1"/>
  </r>
  <r>
    <n v="210"/>
    <d v="2021-02-20T00:00:00"/>
    <x v="5"/>
    <x v="0"/>
    <n v="349043"/>
    <n v="9916906"/>
    <n v="56874.2"/>
    <n v="28796"/>
    <n v="88"/>
    <n v="12"/>
    <n v="59772"/>
    <n v="5.0951046344388191E-2"/>
    <n v="2.9037282394327418E-3"/>
    <n v="3.0559799972218358E-3"/>
    <n v="0.13636363636363641"/>
    <n v="4981"/>
    <n v="1.9750729267953879"/>
    <n v="646.29772727272723"/>
    <n v="4739.5166666666664"/>
    <n v="2897.8000000000029"/>
    <x v="1"/>
    <x v="0"/>
    <x v="0"/>
    <b v="1"/>
  </r>
  <r>
    <n v="211"/>
    <d v="2021-02-20T00:00:00"/>
    <x v="5"/>
    <x v="0"/>
    <n v="348934"/>
    <n v="7918600"/>
    <n v="455831"/>
    <n v="39593"/>
    <n v="853"/>
    <n v="68"/>
    <n v="387124"/>
    <n v="-0.15072910793693281"/>
    <n v="5.0000000000000001E-3"/>
    <n v="2.154421236077084E-2"/>
    <n v="7.9718640093786639E-2"/>
    <n v="5693"/>
    <n v="11.5129189503195"/>
    <n v="534.38569753810077"/>
    <n v="6703.3970588235297"/>
    <n v="-68707"/>
    <x v="1"/>
    <x v="0"/>
    <x v="1"/>
    <b v="1"/>
  </r>
  <r>
    <n v="217"/>
    <d v="2021-02-20T00:00:00"/>
    <x v="5"/>
    <x v="0"/>
    <n v="4387490"/>
    <n v="111784"/>
    <n v="73587.5"/>
    <n v="3594"/>
    <n v="116"/>
    <n v="24"/>
    <n v="119544"/>
    <n v="0.62451503312383216"/>
    <n v="3.2151291776998499E-2"/>
    <n v="3.2276015581524757E-2"/>
    <n v="0.2068965517241379"/>
    <n v="4981"/>
    <n v="20.475097384529771"/>
    <n v="634.375"/>
    <n v="3066.145833333333"/>
    <n v="45956.5"/>
    <x v="1"/>
    <x v="0"/>
    <x v="2"/>
    <b v="1"/>
  </r>
  <r>
    <n v="218"/>
    <d v="2021-02-20T00:00:00"/>
    <x v="5"/>
    <x v="0"/>
    <n v="544756"/>
    <n v="1118531"/>
    <n v="173041"/>
    <n v="14399"/>
    <n v="113"/>
    <n v="18"/>
    <n v="17658"/>
    <n v="-0.89795481995596416"/>
    <n v="1.2873134495154809E-2"/>
    <n v="7.8477672060559764E-3"/>
    <n v="0.15929203539823009"/>
    <n v="981"/>
    <n v="12.01757066462949"/>
    <n v="1531.336283185841"/>
    <n v="9613.3888888888887"/>
    <n v="-155383"/>
    <x v="1"/>
    <x v="0"/>
    <x v="3"/>
    <b v="1"/>
  </r>
  <r>
    <n v="221"/>
    <d v="2021-02-21T00:00:00"/>
    <x v="6"/>
    <x v="0"/>
    <n v="349043"/>
    <n v="478600"/>
    <n v="38596.699999999997"/>
    <n v="2393"/>
    <n v="66"/>
    <n v="7"/>
    <n v="31094"/>
    <n v="-0.1943870849062225"/>
    <n v="5.0000000000000001E-3"/>
    <n v="2.7580442958629339E-2"/>
    <n v="0.10606060606060611"/>
    <n v="4442"/>
    <n v="16.129001253656501"/>
    <n v="584.7984848484848"/>
    <n v="5513.8142857142857"/>
    <n v="-7502.6999999999971"/>
    <x v="1"/>
    <x v="0"/>
    <x v="0"/>
    <b v="1"/>
  </r>
  <r>
    <n v="222"/>
    <d v="2021-02-21T00:00:00"/>
    <x v="6"/>
    <x v="0"/>
    <n v="348934"/>
    <n v="543787"/>
    <n v="39481"/>
    <n v="3299"/>
    <n v="113"/>
    <n v="6"/>
    <n v="29538"/>
    <n v="-0.25184265849395909"/>
    <n v="6.0667136213259972E-3"/>
    <n v="3.4252803879963628E-2"/>
    <n v="5.3097345132743362E-2"/>
    <n v="4923"/>
    <n v="11.967565929069419"/>
    <n v="349.38938053097343"/>
    <n v="6580.166666666667"/>
    <n v="-9943"/>
    <x v="1"/>
    <x v="0"/>
    <x v="1"/>
    <b v="1"/>
  </r>
  <r>
    <n v="228"/>
    <d v="2021-02-21T00:00:00"/>
    <x v="6"/>
    <x v="0"/>
    <n v="4387490"/>
    <n v="10812"/>
    <n v="1555.96"/>
    <n v="296"/>
    <n v="3"/>
    <n v="1"/>
    <n v="3993"/>
    <n v="1.5662613434792669"/>
    <n v="2.737698853126156E-2"/>
    <n v="1.0135135135135139E-2"/>
    <n v="0.33333333333333331"/>
    <n v="3993"/>
    <n v="5.2566216216216217"/>
    <n v="518.65333333333331"/>
    <n v="1555.96"/>
    <n v="2437.04"/>
    <x v="1"/>
    <x v="0"/>
    <x v="2"/>
    <b v="1"/>
  </r>
  <r>
    <n v="229"/>
    <d v="2021-02-21T00:00:00"/>
    <x v="6"/>
    <x v="0"/>
    <n v="544756"/>
    <n v="119400"/>
    <n v="32169.9"/>
    <n v="1194"/>
    <n v="24"/>
    <n v="4"/>
    <n v="3924"/>
    <n v="-0.87802262363265038"/>
    <n v="0.01"/>
    <n v="2.0100502512562811E-2"/>
    <n v="0.16666666666666671"/>
    <n v="981"/>
    <n v="26.942964824120601"/>
    <n v="1340.4124999999999"/>
    <n v="8042.4750000000004"/>
    <n v="-28245.9"/>
    <x v="1"/>
    <x v="0"/>
    <x v="3"/>
    <b v="1"/>
  </r>
  <r>
    <n v="287"/>
    <d v="2021-02-27T00:00:00"/>
    <x v="5"/>
    <x v="0"/>
    <n v="349043"/>
    <n v="213771"/>
    <n v="5003.33"/>
    <n v="241"/>
    <n v="9"/>
    <n v="1"/>
    <n v="4223"/>
    <n v="-0.15596212922193819"/>
    <n v="1.1273746205051199E-3"/>
    <n v="3.7344398340248962E-2"/>
    <n v="0.1111111111111111"/>
    <n v="4223"/>
    <n v="20.760705394190872"/>
    <n v="555.92555555555555"/>
    <n v="5003.33"/>
    <n v="-780.32999999999993"/>
    <x v="1"/>
    <x v="0"/>
    <x v="0"/>
    <b v="1"/>
  </r>
  <r>
    <n v="288"/>
    <d v="2021-02-27T00:00:00"/>
    <x v="5"/>
    <x v="0"/>
    <n v="348934"/>
    <n v="66400"/>
    <n v="3235.77"/>
    <n v="332"/>
    <n v="13"/>
    <n v="0"/>
    <n v="0"/>
    <n v="0"/>
    <n v="5.0000000000000001E-3"/>
    <n v="3.9156626506024098E-2"/>
    <n v="0"/>
    <n v="0"/>
    <n v="9.7462951807228908"/>
    <n v="248.90538461538461"/>
    <n v="0"/>
    <n v="0"/>
    <x v="1"/>
    <x v="0"/>
    <x v="1"/>
    <b v="1"/>
  </r>
  <r>
    <n v="294"/>
    <d v="2021-02-27T00:00:00"/>
    <x v="5"/>
    <x v="0"/>
    <n v="4387490"/>
    <n v="667"/>
    <n v="200.42"/>
    <n v="20"/>
    <n v="0"/>
    <n v="0"/>
    <n v="0"/>
    <n v="0"/>
    <n v="2.998500749625187E-2"/>
    <n v="0"/>
    <n v="0"/>
    <n v="0"/>
    <n v="10.021000000000001"/>
    <n v="0"/>
    <n v="0"/>
    <n v="0"/>
    <x v="1"/>
    <x v="0"/>
    <x v="2"/>
    <b v="1"/>
  </r>
  <r>
    <n v="295"/>
    <d v="2021-02-27T00:00:00"/>
    <x v="5"/>
    <x v="0"/>
    <n v="544756"/>
    <n v="13693"/>
    <n v="3098.45"/>
    <n v="115"/>
    <n v="2"/>
    <n v="0"/>
    <n v="0"/>
    <n v="0"/>
    <n v="8.3984517636748711E-3"/>
    <n v="1.7391304347826091E-2"/>
    <n v="0"/>
    <n v="0"/>
    <n v="26.943043478260869"/>
    <n v="1549.2249999999999"/>
    <n v="0"/>
    <n v="0"/>
    <x v="1"/>
    <x v="0"/>
    <x v="3"/>
    <b v="1"/>
  </r>
  <r>
    <n v="298"/>
    <d v="2021-02-28T00:00:00"/>
    <x v="6"/>
    <x v="0"/>
    <n v="349043"/>
    <n v="97200"/>
    <n v="6440.5"/>
    <n v="486"/>
    <n v="11"/>
    <n v="1"/>
    <n v="4981"/>
    <n v="-0.22661284061796441"/>
    <n v="5.0000000000000001E-3"/>
    <n v="2.2633744855967079E-2"/>
    <n v="9.0909090909090912E-2"/>
    <n v="4981"/>
    <n v="13.25205761316872"/>
    <n v="585.5"/>
    <n v="6440.5"/>
    <n v="-1459.5"/>
    <x v="1"/>
    <x v="0"/>
    <x v="0"/>
    <b v="1"/>
  </r>
  <r>
    <n v="299"/>
    <d v="2021-02-28T00:00:00"/>
    <x v="6"/>
    <x v="0"/>
    <n v="348934"/>
    <n v="132200"/>
    <n v="8665.5499999999993"/>
    <n v="661"/>
    <n v="13"/>
    <n v="1"/>
    <n v="5509"/>
    <n v="-0.36426424173883942"/>
    <n v="5.0000000000000001E-3"/>
    <n v="1.9667170953101359E-2"/>
    <n v="7.6923076923076927E-2"/>
    <n v="5509"/>
    <n v="13.109757942511351"/>
    <n v="666.58076923076919"/>
    <n v="8665.5499999999993"/>
    <n v="-3156.5499999999988"/>
    <x v="1"/>
    <x v="0"/>
    <x v="1"/>
    <b v="1"/>
  </r>
  <r>
    <n v="305"/>
    <d v="2021-02-28T00:00:00"/>
    <x v="6"/>
    <x v="0"/>
    <n v="4387490"/>
    <n v="1933"/>
    <n v="224.81"/>
    <n v="58"/>
    <n v="0"/>
    <n v="0"/>
    <n v="0"/>
    <n v="0"/>
    <n v="3.0005173305742368E-2"/>
    <n v="0"/>
    <n v="0"/>
    <n v="0"/>
    <n v="3.8760344827586208"/>
    <n v="0"/>
    <n v="0"/>
    <n v="0"/>
    <x v="1"/>
    <x v="0"/>
    <x v="2"/>
    <b v="1"/>
  </r>
  <r>
    <n v="306"/>
    <d v="2021-02-28T00:00:00"/>
    <x v="6"/>
    <x v="0"/>
    <n v="544756"/>
    <n v="25840"/>
    <n v="6844.8"/>
    <n v="248"/>
    <n v="5"/>
    <n v="1"/>
    <n v="1491"/>
    <n v="-0.7821704067321178"/>
    <n v="9.5975232198142416E-3"/>
    <n v="2.0161290322580641E-2"/>
    <n v="0.2"/>
    <n v="1491"/>
    <n v="27.6"/>
    <n v="1368.96"/>
    <n v="6844.8"/>
    <n v="-5353.8"/>
    <x v="1"/>
    <x v="0"/>
    <x v="3"/>
    <b v="1"/>
  </r>
  <r>
    <n v="6"/>
    <d v="2021-02-01T00:00:00"/>
    <x v="0"/>
    <x v="0"/>
    <n v="9034945"/>
    <n v="444857"/>
    <n v="9540.01"/>
    <n v="1342"/>
    <n v="27"/>
    <n v="3"/>
    <n v="17943"/>
    <n v="0.8808156385580308"/>
    <n v="3.016699748458493E-3"/>
    <n v="2.0119225037257819E-2"/>
    <n v="0.1111111111111111"/>
    <n v="5981"/>
    <n v="7.1088002980625937"/>
    <n v="353.33370370370369"/>
    <n v="3180.003333333334"/>
    <n v="8402.99"/>
    <x v="0"/>
    <x v="1"/>
    <x v="0"/>
    <b v="1"/>
  </r>
  <r>
    <n v="7"/>
    <d v="2021-02-01T00:00:00"/>
    <x v="0"/>
    <x v="0"/>
    <n v="983498"/>
    <n v="511200"/>
    <n v="3648.9"/>
    <n v="2556"/>
    <n v="94"/>
    <n v="1"/>
    <n v="1981"/>
    <n v="-0.45709665926717641"/>
    <n v="5.0000000000000001E-3"/>
    <n v="3.6776212832550857E-2"/>
    <n v="1.063829787234043E-2"/>
    <n v="1981"/>
    <n v="1.4275821596244129"/>
    <n v="38.818085106382981"/>
    <n v="3648.9"/>
    <n v="-1667.9"/>
    <x v="0"/>
    <x v="1"/>
    <x v="1"/>
    <b v="1"/>
  </r>
  <r>
    <n v="17"/>
    <d v="2021-02-02T00:00:00"/>
    <x v="1"/>
    <x v="0"/>
    <n v="9034945"/>
    <n v="540200"/>
    <n v="29081.1"/>
    <n v="2701"/>
    <n v="54"/>
    <n v="9"/>
    <n v="45585"/>
    <n v="0.56751292076296989"/>
    <n v="5.0000000000000001E-3"/>
    <n v="1.9992595335061088E-2"/>
    <n v="0.16666666666666671"/>
    <n v="5065"/>
    <n v="10.766790077748979"/>
    <n v="538.53888888888889"/>
    <n v="3231.2333333333331"/>
    <n v="16503.900000000001"/>
    <x v="0"/>
    <x v="1"/>
    <x v="0"/>
    <b v="1"/>
  </r>
  <r>
    <n v="18"/>
    <d v="2021-02-02T00:00:00"/>
    <x v="1"/>
    <x v="0"/>
    <n v="983498"/>
    <n v="1020800"/>
    <n v="1421.34"/>
    <n v="5104"/>
    <n v="14"/>
    <n v="0"/>
    <n v="0"/>
    <n v="0"/>
    <n v="5.0000000000000001E-3"/>
    <n v="2.7429467084639498E-3"/>
    <n v="0"/>
    <n v="0"/>
    <n v="0.27847570532915361"/>
    <n v="101.5242857142857"/>
    <n v="0"/>
    <n v="0"/>
    <x v="0"/>
    <x v="1"/>
    <x v="1"/>
    <b v="1"/>
  </r>
  <r>
    <n v="28"/>
    <d v="2021-02-03T00:00:00"/>
    <x v="2"/>
    <x v="0"/>
    <n v="9034945"/>
    <n v="1618600"/>
    <n v="62509.8"/>
    <n v="8093"/>
    <n v="166"/>
    <n v="15"/>
    <n v="84600"/>
    <n v="0.35338778879471688"/>
    <n v="5.0000000000000001E-3"/>
    <n v="2.0511553194118369E-2"/>
    <n v="9.036144578313253E-2"/>
    <n v="5640"/>
    <n v="7.7239342641789204"/>
    <n v="376.56506024096387"/>
    <n v="4167.3200000000006"/>
    <n v="22090.2"/>
    <x v="0"/>
    <x v="1"/>
    <x v="0"/>
    <b v="1"/>
  </r>
  <r>
    <n v="29"/>
    <d v="2021-02-03T00:00:00"/>
    <x v="2"/>
    <x v="0"/>
    <n v="983498"/>
    <n v="3059600"/>
    <n v="94399.9"/>
    <n v="15298"/>
    <n v="592"/>
    <n v="36"/>
    <n v="104184"/>
    <n v="0.1036452369123273"/>
    <n v="5.0000000000000001E-3"/>
    <n v="3.8697869002483988E-2"/>
    <n v="6.0810810810810807E-2"/>
    <n v="2894"/>
    <n v="6.170734736566871"/>
    <n v="159.45929054054051"/>
    <n v="2622.219444444444"/>
    <n v="9784.1000000000058"/>
    <x v="0"/>
    <x v="1"/>
    <x v="1"/>
    <b v="1"/>
  </r>
  <r>
    <n v="39"/>
    <d v="2021-02-04T00:00:00"/>
    <x v="3"/>
    <x v="0"/>
    <n v="9034945"/>
    <n v="1322751"/>
    <n v="104028"/>
    <n v="10794"/>
    <n v="238"/>
    <n v="27"/>
    <n v="179037"/>
    <n v="0.72104625677702161"/>
    <n v="8.1602659911049012E-3"/>
    <n v="2.2049286640726331E-2"/>
    <n v="0.1134453781512605"/>
    <n v="6631"/>
    <n v="9.6375764313507499"/>
    <n v="437.0924369747899"/>
    <n v="3852.8888888888891"/>
    <n v="75009"/>
    <x v="0"/>
    <x v="1"/>
    <x v="0"/>
    <b v="1"/>
  </r>
  <r>
    <n v="40"/>
    <d v="2021-02-04T00:00:00"/>
    <x v="3"/>
    <x v="0"/>
    <n v="983498"/>
    <n v="3008227"/>
    <n v="40119.199999999997"/>
    <n v="20392"/>
    <n v="408"/>
    <n v="12"/>
    <n v="23772"/>
    <n v="-0.40746575205886448"/>
    <n v="6.7787437583666389E-3"/>
    <n v="2.0007846214201649E-2"/>
    <n v="2.9411764705882349E-2"/>
    <n v="1981"/>
    <n v="1.9673989799921541"/>
    <n v="98.331372549019605"/>
    <n v="3343.266666666666"/>
    <n v="-16347.2"/>
    <x v="0"/>
    <x v="1"/>
    <x v="1"/>
    <b v="1"/>
  </r>
  <r>
    <n v="50"/>
    <d v="2021-02-05T00:00:00"/>
    <x v="4"/>
    <x v="0"/>
    <n v="9034945"/>
    <n v="7485780"/>
    <n v="258306"/>
    <n v="13498"/>
    <n v="526"/>
    <n v="76"/>
    <n v="454556"/>
    <n v="0.75975780663244374"/>
    <n v="1.8031521097333881E-3"/>
    <n v="3.8968736109053187E-2"/>
    <n v="0.14448669201520911"/>
    <n v="5981"/>
    <n v="19.136612831530599"/>
    <n v="491.0760456273764"/>
    <n v="3398.7631578947371"/>
    <n v="196250"/>
    <x v="0"/>
    <x v="1"/>
    <x v="0"/>
    <b v="1"/>
  </r>
  <r>
    <n v="51"/>
    <d v="2021-02-05T00:00:00"/>
    <x v="4"/>
    <x v="0"/>
    <n v="983498"/>
    <n v="5100600"/>
    <n v="13588.8"/>
    <n v="25503"/>
    <n v="765"/>
    <n v="4"/>
    <n v="7924"/>
    <n v="-0.41687271870952552"/>
    <n v="5.0000000000000001E-3"/>
    <n v="2.9996471003411362E-2"/>
    <n v="5.2287581699346402E-3"/>
    <n v="1981"/>
    <n v="0.53283143159628277"/>
    <n v="17.763137254901959"/>
    <n v="3397.2"/>
    <n v="-5664.7999999999993"/>
    <x v="0"/>
    <x v="1"/>
    <x v="1"/>
    <b v="1"/>
  </r>
  <r>
    <n v="61"/>
    <d v="2021-02-06T00:00:00"/>
    <x v="5"/>
    <x v="0"/>
    <n v="9034945"/>
    <n v="425467"/>
    <n v="3661.53"/>
    <n v="2695"/>
    <n v="14"/>
    <n v="1"/>
    <n v="5958"/>
    <n v="0.62718863425944882"/>
    <n v="6.3342162846942301E-3"/>
    <n v="5.1948051948051948E-3"/>
    <n v="7.1428571428571425E-2"/>
    <n v="5958"/>
    <n v="1.358638218923933"/>
    <n v="261.53785714285709"/>
    <n v="3661.53"/>
    <n v="2296.4699999999998"/>
    <x v="1"/>
    <x v="1"/>
    <x v="0"/>
    <b v="1"/>
  </r>
  <r>
    <n v="62"/>
    <d v="2021-02-06T00:00:00"/>
    <x v="5"/>
    <x v="0"/>
    <n v="983498"/>
    <n v="1589341"/>
    <n v="12183.4"/>
    <n v="5092"/>
    <n v="102"/>
    <n v="5"/>
    <n v="12295"/>
    <n v="9.160004596418107E-3"/>
    <n v="3.2038436056201912E-3"/>
    <n v="2.0031421838177531E-2"/>
    <n v="4.9019607843137247E-2"/>
    <n v="2459"/>
    <n v="2.392655145326001"/>
    <n v="119.44509803921569"/>
    <n v="2436.6799999999998"/>
    <n v="111.60000000000041"/>
    <x v="1"/>
    <x v="1"/>
    <x v="1"/>
    <b v="1"/>
  </r>
  <r>
    <n v="72"/>
    <d v="2021-02-07T00:00:00"/>
    <x v="6"/>
    <x v="0"/>
    <n v="9034945"/>
    <n v="1246126"/>
    <n v="37965.9"/>
    <n v="2696"/>
    <n v="100"/>
    <n v="11"/>
    <n v="65791"/>
    <n v="0.73289715244469378"/>
    <n v="2.163505135114748E-3"/>
    <n v="3.7091988130563802E-2"/>
    <n v="0.11"/>
    <n v="5981"/>
    <n v="14.082307121661721"/>
    <n v="379.65899999999999"/>
    <n v="3451.445454545455"/>
    <n v="27825.1"/>
    <x v="1"/>
    <x v="1"/>
    <x v="0"/>
    <b v="1"/>
  </r>
  <r>
    <n v="73"/>
    <d v="2021-02-07T00:00:00"/>
    <x v="6"/>
    <x v="0"/>
    <n v="983498"/>
    <n v="567096"/>
    <n v="6747.94"/>
    <n v="5103"/>
    <n v="199"/>
    <n v="2"/>
    <n v="3962"/>
    <n v="-0.41285784995124442"/>
    <n v="8.9984764484320121E-3"/>
    <n v="3.8996668626298248E-2"/>
    <n v="1.0050251256281411E-2"/>
    <n v="1981"/>
    <n v="1.322347638643935"/>
    <n v="33.909246231155777"/>
    <n v="3373.97"/>
    <n v="-2785.94"/>
    <x v="1"/>
    <x v="1"/>
    <x v="1"/>
    <b v="1"/>
  </r>
  <r>
    <n v="83"/>
    <d v="2021-02-08T00:00:00"/>
    <x v="0"/>
    <x v="0"/>
    <n v="9034945"/>
    <n v="472836"/>
    <n v="330.76"/>
    <n v="2690"/>
    <n v="1"/>
    <n v="0"/>
    <n v="0"/>
    <n v="0"/>
    <n v="5.6890761278752039E-3"/>
    <n v="3.7174721189591077E-4"/>
    <n v="0"/>
    <n v="0"/>
    <n v="0.12295910780669141"/>
    <n v="330.76"/>
    <n v="0"/>
    <n v="0"/>
    <x v="0"/>
    <x v="1"/>
    <x v="0"/>
    <b v="1"/>
  </r>
  <r>
    <n v="84"/>
    <d v="2021-02-08T00:00:00"/>
    <x v="0"/>
    <x v="0"/>
    <n v="983498"/>
    <n v="1020000"/>
    <n v="2057.3000000000002"/>
    <n v="5100"/>
    <n v="102"/>
    <n v="1"/>
    <n v="1981"/>
    <n v="-3.7087444709084809E-2"/>
    <n v="5.0000000000000001E-3"/>
    <n v="0.02"/>
    <n v="9.8039215686274508E-3"/>
    <n v="1981"/>
    <n v="0.40339215686274521"/>
    <n v="20.169607843137261"/>
    <n v="2057.3000000000002"/>
    <n v="-76.300000000000182"/>
    <x v="0"/>
    <x v="1"/>
    <x v="1"/>
    <b v="1"/>
  </r>
  <r>
    <n v="94"/>
    <d v="2021-02-09T00:00:00"/>
    <x v="1"/>
    <x v="0"/>
    <n v="9034945"/>
    <n v="759532"/>
    <n v="10317"/>
    <n v="2701"/>
    <n v="19"/>
    <n v="3"/>
    <n v="19800"/>
    <n v="0.91916254725210822"/>
    <n v="3.556137200275959E-3"/>
    <n v="7.0344316919659384E-3"/>
    <n v="0.15789473684210531"/>
    <n v="6600"/>
    <n v="3.8196964087375052"/>
    <n v="543"/>
    <n v="3439"/>
    <n v="9483"/>
    <x v="0"/>
    <x v="1"/>
    <x v="0"/>
    <b v="1"/>
  </r>
  <r>
    <n v="95"/>
    <d v="2021-02-09T00:00:00"/>
    <x v="1"/>
    <x v="0"/>
    <n v="983498"/>
    <n v="1022000"/>
    <n v="7398.26"/>
    <n v="5110"/>
    <n v="102"/>
    <n v="3"/>
    <n v="5943"/>
    <n v="-0.19670300854525261"/>
    <n v="5.0000000000000001E-3"/>
    <n v="1.9960861056751471E-2"/>
    <n v="2.9411764705882349E-2"/>
    <n v="1981"/>
    <n v="1.4478003913894331"/>
    <n v="72.531960784313725"/>
    <n v="2466.086666666667"/>
    <n v="-1455.26"/>
    <x v="0"/>
    <x v="1"/>
    <x v="1"/>
    <b v="1"/>
  </r>
  <r>
    <n v="105"/>
    <d v="2021-02-10T00:00:00"/>
    <x v="2"/>
    <x v="0"/>
    <n v="9034945"/>
    <n v="3858193"/>
    <n v="38890.300000000003"/>
    <n v="5406"/>
    <n v="186"/>
    <n v="14"/>
    <n v="83734"/>
    <n v="1.15308187388629"/>
    <n v="1.4011740729403641E-3"/>
    <n v="3.4406215316315207E-2"/>
    <n v="7.5268817204301078E-2"/>
    <n v="5981"/>
    <n v="7.1939141694413618"/>
    <n v="209.08763440860221"/>
    <n v="2777.8785714285718"/>
    <n v="44843.7"/>
    <x v="0"/>
    <x v="1"/>
    <x v="0"/>
    <b v="1"/>
  </r>
  <r>
    <n v="106"/>
    <d v="2021-02-10T00:00:00"/>
    <x v="2"/>
    <x v="0"/>
    <n v="983498"/>
    <n v="2040000"/>
    <n v="14147.9"/>
    <n v="10200"/>
    <n v="395"/>
    <n v="4"/>
    <n v="7924"/>
    <n v="-0.43991687812325497"/>
    <n v="5.0000000000000001E-3"/>
    <n v="3.8725490196078433E-2"/>
    <n v="1.0126582278481009E-2"/>
    <n v="1981"/>
    <n v="1.3870490196078431"/>
    <n v="35.817468354430382"/>
    <n v="3536.9749999999999"/>
    <n v="-6223.9"/>
    <x v="0"/>
    <x v="1"/>
    <x v="1"/>
    <b v="1"/>
  </r>
  <r>
    <n v="116"/>
    <d v="2021-02-11T00:00:00"/>
    <x v="3"/>
    <x v="0"/>
    <n v="9034945"/>
    <n v="2224531"/>
    <n v="348.99"/>
    <n v="8106"/>
    <n v="1"/>
    <n v="0"/>
    <n v="0"/>
    <n v="0"/>
    <n v="3.643914155388259E-3"/>
    <n v="1.233654083395016E-4"/>
    <n v="0"/>
    <n v="0"/>
    <n v="4.3053293856402657E-2"/>
    <n v="348.99"/>
    <n v="0"/>
    <n v="0"/>
    <x v="0"/>
    <x v="1"/>
    <x v="0"/>
    <b v="1"/>
  </r>
  <r>
    <n v="117"/>
    <d v="2021-02-11T00:00:00"/>
    <x v="3"/>
    <x v="0"/>
    <n v="983498"/>
    <n v="3058200"/>
    <n v="4138.7299999999996"/>
    <n v="15291"/>
    <n v="114"/>
    <n v="1"/>
    <n v="2771"/>
    <n v="-0.33047094156903201"/>
    <n v="5.0000000000000001E-3"/>
    <n v="7.4553659015106927E-3"/>
    <n v="8.771929824561403E-3"/>
    <n v="2771"/>
    <n v="0.27066444313648552"/>
    <n v="36.304649122807007"/>
    <n v="4138.7299999999996"/>
    <n v="-1367.73"/>
    <x v="0"/>
    <x v="1"/>
    <x v="1"/>
    <b v="1"/>
  </r>
  <r>
    <n v="127"/>
    <d v="2021-02-12T00:00:00"/>
    <x v="4"/>
    <x v="0"/>
    <n v="9034945"/>
    <n v="3735390"/>
    <n v="26659.9"/>
    <n v="10806"/>
    <n v="115"/>
    <n v="9"/>
    <n v="53523"/>
    <n v="1.0076219340657691"/>
    <n v="2.8928706239509131E-3"/>
    <n v="1.0642235794928741E-2"/>
    <n v="7.8260869565217397E-2"/>
    <n v="5947"/>
    <n v="2.4671386266888771"/>
    <n v="231.82521739130439"/>
    <n v="2962.2111111111112"/>
    <n v="26863.1"/>
    <x v="0"/>
    <x v="1"/>
    <x v="0"/>
    <b v="1"/>
  </r>
  <r>
    <n v="128"/>
    <d v="2021-02-12T00:00:00"/>
    <x v="4"/>
    <x v="0"/>
    <n v="983498"/>
    <n v="7156880"/>
    <n v="49060.3"/>
    <n v="20391"/>
    <n v="408"/>
    <n v="15"/>
    <n v="29715"/>
    <n v="-0.3943167897464957"/>
    <n v="2.8491465554822768E-3"/>
    <n v="2.0008827423863468E-2"/>
    <n v="3.6764705882352942E-2"/>
    <n v="1981"/>
    <n v="2.4059781276053158"/>
    <n v="120.24583333333329"/>
    <n v="3270.686666666667"/>
    <n v="-19345.3"/>
    <x v="0"/>
    <x v="1"/>
    <x v="1"/>
    <b v="1"/>
  </r>
  <r>
    <n v="138"/>
    <d v="2021-02-13T00:00:00"/>
    <x v="5"/>
    <x v="0"/>
    <n v="9034945"/>
    <n v="2698200"/>
    <n v="88844.800000000003"/>
    <n v="13491"/>
    <n v="219"/>
    <n v="26"/>
    <n v="176384"/>
    <n v="0.9853047111367238"/>
    <n v="5.0000000000000001E-3"/>
    <n v="1.623304425172337E-2"/>
    <n v="0.11872146118721461"/>
    <n v="6784"/>
    <n v="6.5854866207101033"/>
    <n v="405.68401826484018"/>
    <n v="3417.107692307693"/>
    <n v="87539.199999999997"/>
    <x v="1"/>
    <x v="1"/>
    <x v="0"/>
    <b v="1"/>
  </r>
  <r>
    <n v="139"/>
    <d v="2021-02-13T00:00:00"/>
    <x v="5"/>
    <x v="0"/>
    <n v="983498"/>
    <n v="5100600"/>
    <n v="16656.8"/>
    <n v="25503"/>
    <n v="510"/>
    <n v="6"/>
    <n v="10134"/>
    <n v="-0.39159982709764179"/>
    <n v="5.0000000000000001E-3"/>
    <n v="1.999764733560758E-2"/>
    <n v="1.1764705882352939E-2"/>
    <n v="1689"/>
    <n v="0.65313100419558479"/>
    <n v="32.660392156862741"/>
    <n v="2776.1333333333332"/>
    <n v="-6522.7999999999993"/>
    <x v="1"/>
    <x v="1"/>
    <x v="1"/>
    <b v="1"/>
  </r>
  <r>
    <n v="149"/>
    <d v="2021-02-14T00:00:00"/>
    <x v="6"/>
    <x v="0"/>
    <n v="9034945"/>
    <n v="3239400"/>
    <n v="312844"/>
    <n v="16197"/>
    <n v="604"/>
    <n v="72"/>
    <n v="377352"/>
    <n v="0.2061986165628876"/>
    <n v="5.0000000000000001E-3"/>
    <n v="3.7290856331419403E-2"/>
    <n v="0.119205298013245"/>
    <n v="5241"/>
    <n v="19.314934864481081"/>
    <n v="517.95364238410593"/>
    <n v="4345.0555555555557"/>
    <n v="64508"/>
    <x v="1"/>
    <x v="1"/>
    <x v="0"/>
    <b v="1"/>
  </r>
  <r>
    <n v="150"/>
    <d v="2021-02-14T00:00:00"/>
    <x v="6"/>
    <x v="0"/>
    <n v="983498"/>
    <n v="5130500"/>
    <n v="218228"/>
    <n v="30602"/>
    <n v="935"/>
    <n v="54"/>
    <n v="119718"/>
    <n v="-0.45140861850908232"/>
    <n v="5.9647207874476173E-3"/>
    <n v="3.0553558590941769E-2"/>
    <n v="5.7754010695187173E-2"/>
    <n v="2217"/>
    <n v="7.1311678975230377"/>
    <n v="233.3989304812834"/>
    <n v="4041.2592592592591"/>
    <n v="-98510"/>
    <x v="1"/>
    <x v="1"/>
    <x v="1"/>
    <b v="1"/>
  </r>
  <r>
    <n v="160"/>
    <d v="2021-02-15T00:00:00"/>
    <x v="0"/>
    <x v="0"/>
    <n v="9034945"/>
    <n v="3780200"/>
    <n v="136269"/>
    <n v="18901"/>
    <n v="378"/>
    <n v="45"/>
    <n v="269145"/>
    <n v="0.97510071989961034"/>
    <n v="5.0000000000000001E-3"/>
    <n v="1.9998941854928311E-2"/>
    <n v="0.119047619047619"/>
    <n v="5981"/>
    <n v="7.2096185387016556"/>
    <n v="360.5"/>
    <n v="3028.2"/>
    <n v="132876"/>
    <x v="0"/>
    <x v="1"/>
    <x v="0"/>
    <b v="1"/>
  </r>
  <r>
    <n v="161"/>
    <d v="2021-02-15T00:00:00"/>
    <x v="0"/>
    <x v="0"/>
    <n v="983498"/>
    <n v="7138400"/>
    <n v="37098.6"/>
    <n v="35692"/>
    <n v="916"/>
    <n v="11"/>
    <n v="21791"/>
    <n v="-0.41261934412619339"/>
    <n v="5.0000000000000001E-3"/>
    <n v="2.566401434495125E-2"/>
    <n v="1.200873362445415E-2"/>
    <n v="1981"/>
    <n v="1.0394093914602709"/>
    <n v="40.500655021834064"/>
    <n v="3372.6"/>
    <n v="-15307.6"/>
    <x v="0"/>
    <x v="1"/>
    <x v="1"/>
    <b v="1"/>
  </r>
  <r>
    <n v="171"/>
    <d v="2021-02-16T00:00:00"/>
    <x v="1"/>
    <x v="0"/>
    <n v="9034945"/>
    <n v="4319200"/>
    <n v="143680"/>
    <n v="21596"/>
    <n v="432"/>
    <n v="34"/>
    <n v="171972"/>
    <n v="0.1969097995545657"/>
    <n v="5.0000000000000001E-3"/>
    <n v="2.0003704389701799E-2"/>
    <n v="7.8703703703703706E-2"/>
    <n v="5058"/>
    <n v="6.6530839044267456"/>
    <n v="332.59259259259261"/>
    <n v="4225.8823529411766"/>
    <n v="28292"/>
    <x v="0"/>
    <x v="1"/>
    <x v="0"/>
    <b v="1"/>
  </r>
  <r>
    <n v="172"/>
    <d v="2021-02-16T00:00:00"/>
    <x v="1"/>
    <x v="0"/>
    <n v="983498"/>
    <n v="15988504"/>
    <n v="103731"/>
    <n v="40794"/>
    <n v="816"/>
    <n v="24"/>
    <n v="41424"/>
    <n v="-0.60065939786563327"/>
    <n v="2.5514582227330342E-3"/>
    <n v="2.000294160906016E-2"/>
    <n v="2.9411764705882349E-2"/>
    <n v="1726"/>
    <n v="2.5428004118252678"/>
    <n v="127.1213235294118"/>
    <n v="4322.125"/>
    <n v="-62307"/>
    <x v="0"/>
    <x v="1"/>
    <x v="1"/>
    <b v="1"/>
  </r>
  <r>
    <n v="182"/>
    <d v="2021-02-17T00:00:00"/>
    <x v="2"/>
    <x v="0"/>
    <n v="9034945"/>
    <n v="4999407"/>
    <n v="246023"/>
    <n v="24294"/>
    <n v="606"/>
    <n v="73"/>
    <n v="496546"/>
    <n v="1.018290972795227"/>
    <n v="4.859376322031793E-3"/>
    <n v="2.4944430723635461E-2"/>
    <n v="0.1204620462046205"/>
    <n v="6802"/>
    <n v="10.126903762245821"/>
    <n v="405.97854785478552"/>
    <n v="3370.178082191781"/>
    <n v="250523"/>
    <x v="0"/>
    <x v="1"/>
    <x v="0"/>
    <b v="1"/>
  </r>
  <r>
    <n v="183"/>
    <d v="2021-02-17T00:00:00"/>
    <x v="2"/>
    <x v="0"/>
    <n v="983498"/>
    <n v="32964848"/>
    <n v="162819"/>
    <n v="45907"/>
    <n v="974"/>
    <n v="46"/>
    <n v="121900"/>
    <n v="-0.25131587836800368"/>
    <n v="1.3926046314546941E-3"/>
    <n v="2.121680789422092E-2"/>
    <n v="4.7227926078028747E-2"/>
    <n v="2650"/>
    <n v="3.546714008756835"/>
    <n v="167.16529774127309"/>
    <n v="3539.54347826087"/>
    <n v="-40919"/>
    <x v="0"/>
    <x v="1"/>
    <x v="1"/>
    <b v="1"/>
  </r>
  <r>
    <n v="193"/>
    <d v="2021-02-18T00:00:00"/>
    <x v="3"/>
    <x v="0"/>
    <n v="9034945"/>
    <n v="11212959"/>
    <n v="241388"/>
    <n v="27009"/>
    <n v="599"/>
    <n v="72"/>
    <n v="430632"/>
    <n v="0.78398263376804145"/>
    <n v="2.4087308265374019E-3"/>
    <n v="2.2177792587655971E-2"/>
    <n v="0.12020033388981639"/>
    <n v="5981"/>
    <n v="8.9373171905661071"/>
    <n v="402.98497495826382"/>
    <n v="3352.6111111111109"/>
    <n v="189244"/>
    <x v="0"/>
    <x v="1"/>
    <x v="0"/>
    <b v="1"/>
  </r>
  <r>
    <n v="194"/>
    <d v="2021-02-18T00:00:00"/>
    <x v="3"/>
    <x v="0"/>
    <n v="983498"/>
    <n v="13281923"/>
    <n v="58596.4"/>
    <n v="51000"/>
    <n v="1020"/>
    <n v="16"/>
    <n v="36016"/>
    <n v="-0.38535473169000151"/>
    <n v="3.8398054257655309E-3"/>
    <n v="0.02"/>
    <n v="1.5686274509803921E-2"/>
    <n v="2251"/>
    <n v="1.1489490196078429"/>
    <n v="57.447450980392148"/>
    <n v="3662.2750000000001"/>
    <n v="-22580.400000000001"/>
    <x v="0"/>
    <x v="1"/>
    <x v="1"/>
    <b v="1"/>
  </r>
  <r>
    <n v="204"/>
    <d v="2021-02-19T00:00:00"/>
    <x v="4"/>
    <x v="0"/>
    <n v="9034945"/>
    <n v="6168252"/>
    <n v="300775"/>
    <n v="29699"/>
    <n v="1082"/>
    <n v="96"/>
    <n v="574176"/>
    <n v="0.90898844651317434"/>
    <n v="4.8148162558857843E-3"/>
    <n v="3.6432203104481628E-2"/>
    <n v="8.8724584103512014E-2"/>
    <n v="5981"/>
    <n v="10.12744536853093"/>
    <n v="277.98059149722741"/>
    <n v="3133.072916666667"/>
    <n v="273401"/>
    <x v="0"/>
    <x v="1"/>
    <x v="0"/>
    <b v="1"/>
  </r>
  <r>
    <n v="205"/>
    <d v="2021-02-19T00:00:00"/>
    <x v="4"/>
    <x v="0"/>
    <n v="983498"/>
    <n v="11222000"/>
    <n v="9908.98"/>
    <n v="56110"/>
    <n v="185"/>
    <n v="3"/>
    <n v="3621"/>
    <n v="-0.63457389156098809"/>
    <n v="5.0000000000000001E-3"/>
    <n v="3.2970949919800389E-3"/>
    <n v="1.6216216216216221E-2"/>
    <n v="1207"/>
    <n v="0.1765991801817858"/>
    <n v="53.562054054054052"/>
    <n v="3302.9933333333329"/>
    <n v="-6287.98"/>
    <x v="0"/>
    <x v="1"/>
    <x v="1"/>
    <b v="1"/>
  </r>
  <r>
    <n v="215"/>
    <d v="2021-02-20T00:00:00"/>
    <x v="5"/>
    <x v="0"/>
    <n v="9034945"/>
    <n v="7669421"/>
    <n v="404737"/>
    <n v="32395"/>
    <n v="1003"/>
    <n v="139"/>
    <n v="847066"/>
    <n v="1.0928800677971131"/>
    <n v="4.2239172944085347E-3"/>
    <n v="3.096156814323198E-2"/>
    <n v="0.1385842472582253"/>
    <n v="6094"/>
    <n v="12.49381077326748"/>
    <n v="403.52642073778662"/>
    <n v="2911.776978417266"/>
    <n v="442329"/>
    <x v="1"/>
    <x v="1"/>
    <x v="0"/>
    <b v="1"/>
  </r>
  <r>
    <n v="216"/>
    <d v="2021-02-20T00:00:00"/>
    <x v="5"/>
    <x v="0"/>
    <n v="983498"/>
    <n v="12239000"/>
    <n v="150065"/>
    <n v="61195"/>
    <n v="1224"/>
    <n v="48"/>
    <n v="73392"/>
    <n v="-0.51093192949721788"/>
    <n v="5.0000000000000001E-3"/>
    <n v="2.000163412043468E-2"/>
    <n v="3.9215686274509803E-2"/>
    <n v="1529"/>
    <n v="2.4522428302965928"/>
    <n v="122.6021241830065"/>
    <n v="3126.354166666667"/>
    <n v="-76673"/>
    <x v="1"/>
    <x v="1"/>
    <x v="1"/>
    <b v="1"/>
  </r>
  <r>
    <n v="226"/>
    <d v="2021-02-21T00:00:00"/>
    <x v="6"/>
    <x v="0"/>
    <n v="9034945"/>
    <n v="555915"/>
    <n v="29457.5"/>
    <n v="2709"/>
    <n v="60"/>
    <n v="10"/>
    <n v="55540"/>
    <n v="0.88542815921242468"/>
    <n v="4.8730471385013893E-3"/>
    <n v="2.2148394241417499E-2"/>
    <n v="0.16666666666666671"/>
    <n v="5554"/>
    <n v="10.873938722775931"/>
    <n v="490.95833333333331"/>
    <n v="2945.75"/>
    <n v="26082.5"/>
    <x v="1"/>
    <x v="1"/>
    <x v="0"/>
    <b v="1"/>
  </r>
  <r>
    <n v="227"/>
    <d v="2021-02-21T00:00:00"/>
    <x v="6"/>
    <x v="0"/>
    <n v="983498"/>
    <n v="781353"/>
    <n v="12503.5"/>
    <n v="5104"/>
    <n v="102"/>
    <n v="4"/>
    <n v="7924"/>
    <n v="-0.36625744791458392"/>
    <n v="6.5322587870015221E-3"/>
    <n v="1.9984326018808781E-2"/>
    <n v="3.9215686274509803E-2"/>
    <n v="1981"/>
    <n v="2.449745297805642"/>
    <n v="122.5833333333333"/>
    <n v="3125.875"/>
    <n v="-4579.5"/>
    <x v="1"/>
    <x v="1"/>
    <x v="1"/>
    <b v="1"/>
  </r>
  <r>
    <n v="237"/>
    <d v="2021-02-22T00:00:00"/>
    <x v="0"/>
    <x v="0"/>
    <n v="9034945"/>
    <n v="4565811"/>
    <n v="33474.699999999997"/>
    <n v="5397"/>
    <n v="108"/>
    <n v="9"/>
    <n v="53829"/>
    <n v="0.60805025885220798"/>
    <n v="1.182046300208222E-3"/>
    <n v="2.0011117287381881E-2"/>
    <n v="8.3333333333333329E-2"/>
    <n v="5981"/>
    <n v="6.2024643320363158"/>
    <n v="309.9509259259259"/>
    <n v="3719.411111111111"/>
    <n v="20354.3"/>
    <x v="0"/>
    <x v="1"/>
    <x v="0"/>
    <b v="1"/>
  </r>
  <r>
    <n v="238"/>
    <d v="2021-02-22T00:00:00"/>
    <x v="0"/>
    <x v="0"/>
    <n v="983498"/>
    <n v="2190892"/>
    <n v="19196.599999999999"/>
    <n v="10202"/>
    <n v="124"/>
    <n v="7"/>
    <n v="14602"/>
    <n v="-0.23934446724940869"/>
    <n v="4.656550847782547E-3"/>
    <n v="1.215447951382082E-2"/>
    <n v="5.6451612903225798E-2"/>
    <n v="2086"/>
    <n v="1.8816506567339739"/>
    <n v="154.81129032258059"/>
    <n v="2742.3714285714282"/>
    <n v="-4594.5999999999995"/>
    <x v="0"/>
    <x v="1"/>
    <x v="1"/>
    <b v="1"/>
  </r>
  <r>
    <n v="248"/>
    <d v="2021-02-23T00:00:00"/>
    <x v="1"/>
    <x v="0"/>
    <n v="9034945"/>
    <n v="536236"/>
    <n v="557.25"/>
    <n v="1349"/>
    <n v="1"/>
    <n v="0"/>
    <n v="0"/>
    <n v="0"/>
    <n v="2.5156833931328738E-3"/>
    <n v="7.4128984432913266E-4"/>
    <n v="0"/>
    <n v="0"/>
    <n v="0.41308376575240918"/>
    <n v="557.25"/>
    <n v="0"/>
    <n v="0"/>
    <x v="0"/>
    <x v="1"/>
    <x v="0"/>
    <b v="1"/>
  </r>
  <r>
    <n v="249"/>
    <d v="2021-02-23T00:00:00"/>
    <x v="1"/>
    <x v="0"/>
    <n v="983498"/>
    <n v="512000"/>
    <n v="4285.4399999999996"/>
    <n v="2560"/>
    <n v="51"/>
    <n v="2"/>
    <n v="2934"/>
    <n v="-0.31535618279569888"/>
    <n v="5.0000000000000001E-3"/>
    <n v="1.9921874999999999E-2"/>
    <n v="3.9215686274509803E-2"/>
    <n v="1467"/>
    <n v="1.6739999999999999"/>
    <n v="84.028235294117636"/>
    <n v="2142.7199999999998"/>
    <n v="-1351.44"/>
    <x v="0"/>
    <x v="1"/>
    <x v="1"/>
    <b v="1"/>
  </r>
  <r>
    <n v="259"/>
    <d v="2021-02-24T00:00:00"/>
    <x v="2"/>
    <x v="0"/>
    <n v="9034945"/>
    <n v="869482"/>
    <n v="23908.400000000001"/>
    <n v="2703"/>
    <n v="42"/>
    <n v="7"/>
    <n v="36456"/>
    <n v="0.52481972863094128"/>
    <n v="3.1087475071364329E-3"/>
    <n v="1.5538290788013319E-2"/>
    <n v="0.16666666666666671"/>
    <n v="5208"/>
    <n v="8.845135035146134"/>
    <n v="569.24761904761908"/>
    <n v="3415.485714285714"/>
    <n v="12547.6"/>
    <x v="0"/>
    <x v="1"/>
    <x v="0"/>
    <b v="1"/>
  </r>
  <r>
    <n v="260"/>
    <d v="2021-02-24T00:00:00"/>
    <x v="2"/>
    <x v="0"/>
    <n v="983498"/>
    <n v="624157"/>
    <n v="18675"/>
    <n v="5098"/>
    <n v="122"/>
    <n v="6"/>
    <n v="10590"/>
    <n v="-0.43293172690763049"/>
    <n v="8.1678167512340642E-3"/>
    <n v="2.39309533150255E-2"/>
    <n v="4.9180327868852458E-2"/>
    <n v="1765"/>
    <n v="3.6632012553942719"/>
    <n v="153.07377049180329"/>
    <n v="3112.5"/>
    <n v="-8085"/>
    <x v="0"/>
    <x v="1"/>
    <x v="1"/>
    <b v="1"/>
  </r>
  <r>
    <n v="270"/>
    <d v="2021-02-25T00:00:00"/>
    <x v="3"/>
    <x v="0"/>
    <n v="9034945"/>
    <n v="106000"/>
    <n v="2304.0100000000002"/>
    <n v="530"/>
    <n v="6"/>
    <n v="1"/>
    <n v="5981"/>
    <n v="1.595908871923299"/>
    <n v="5.0000000000000001E-3"/>
    <n v="1.132075471698113E-2"/>
    <n v="0.16666666666666671"/>
    <n v="5981"/>
    <n v="4.3471886792452832"/>
    <n v="384.00166666666672"/>
    <n v="2304.0100000000002"/>
    <n v="3676.99"/>
    <x v="0"/>
    <x v="1"/>
    <x v="0"/>
    <b v="1"/>
  </r>
  <r>
    <n v="271"/>
    <d v="2021-02-25T00:00:00"/>
    <x v="3"/>
    <x v="0"/>
    <n v="983498"/>
    <n v="115468"/>
    <n v="2059.0300000000002"/>
    <n v="1015"/>
    <n v="20"/>
    <n v="1"/>
    <n v="1981"/>
    <n v="-3.7896485238194777E-2"/>
    <n v="8.7903141996050847E-3"/>
    <n v="1.970443349753695E-2"/>
    <n v="0.05"/>
    <n v="1981"/>
    <n v="2.0286009852216749"/>
    <n v="102.9515"/>
    <n v="2059.0300000000002"/>
    <n v="-78.0300000000002"/>
    <x v="0"/>
    <x v="1"/>
    <x v="1"/>
    <b v="1"/>
  </r>
  <r>
    <n v="281"/>
    <d v="2021-02-26T00:00:00"/>
    <x v="4"/>
    <x v="0"/>
    <n v="9034945"/>
    <n v="174375"/>
    <n v="12592.4"/>
    <n v="1342"/>
    <n v="27"/>
    <n v="4"/>
    <n v="26556"/>
    <n v="1.108891077157651"/>
    <n v="7.6960573476702512E-3"/>
    <n v="2.0119225037257819E-2"/>
    <n v="0.14814814814814811"/>
    <n v="6639"/>
    <n v="9.3833084947839041"/>
    <n v="466.38518518518521"/>
    <n v="3148.1"/>
    <n v="13963.6"/>
    <x v="0"/>
    <x v="1"/>
    <x v="0"/>
    <b v="1"/>
  </r>
  <r>
    <n v="282"/>
    <d v="2021-02-26T00:00:00"/>
    <x v="4"/>
    <x v="0"/>
    <n v="983498"/>
    <n v="508600"/>
    <n v="2403.54"/>
    <n v="2543"/>
    <n v="73"/>
    <n v="1"/>
    <n v="1981"/>
    <n v="-0.17579902976443079"/>
    <n v="5.0000000000000001E-3"/>
    <n v="2.870625245772709E-2"/>
    <n v="1.3698630136986301E-2"/>
    <n v="1981"/>
    <n v="0.94515926071569012"/>
    <n v="32.925205479452053"/>
    <n v="2403.54"/>
    <n v="-422.54"/>
    <x v="0"/>
    <x v="1"/>
    <x v="1"/>
    <b v="1"/>
  </r>
  <r>
    <n v="292"/>
    <d v="2021-02-27T00:00:00"/>
    <x v="5"/>
    <x v="0"/>
    <n v="9034945"/>
    <n v="44112"/>
    <n v="1832.16"/>
    <n v="275"/>
    <n v="6"/>
    <n v="1"/>
    <n v="5981"/>
    <n v="2.2644528862108109"/>
    <n v="6.234131302140007E-3"/>
    <n v="2.181818181818182E-2"/>
    <n v="0.16666666666666671"/>
    <n v="5981"/>
    <n v="6.6623999999999999"/>
    <n v="305.36"/>
    <n v="1832.16"/>
    <n v="4148.84"/>
    <x v="1"/>
    <x v="1"/>
    <x v="0"/>
    <b v="1"/>
  </r>
  <r>
    <n v="293"/>
    <d v="2021-02-27T00:00:00"/>
    <x v="5"/>
    <x v="0"/>
    <n v="983498"/>
    <n v="78799"/>
    <n v="254.14"/>
    <n v="503"/>
    <n v="3"/>
    <n v="0"/>
    <n v="0"/>
    <n v="0"/>
    <n v="6.3833297376870261E-3"/>
    <n v="5.9642147117296221E-3"/>
    <n v="0"/>
    <n v="0"/>
    <n v="0.50524850894632201"/>
    <n v="84.713333333333324"/>
    <n v="0"/>
    <n v="0"/>
    <x v="1"/>
    <x v="1"/>
    <x v="1"/>
    <b v="1"/>
  </r>
  <r>
    <n v="303"/>
    <d v="2021-02-28T00:00:00"/>
    <x v="6"/>
    <x v="0"/>
    <n v="9034945"/>
    <n v="63566"/>
    <n v="4950.74"/>
    <n v="546"/>
    <n v="12"/>
    <n v="1"/>
    <n v="5981"/>
    <n v="0.20810222310200099"/>
    <n v="8.5894975301261684E-3"/>
    <n v="2.197802197802198E-2"/>
    <n v="8.3333333333333329E-2"/>
    <n v="5981"/>
    <n v="9.0672893772893772"/>
    <n v="412.56166666666672"/>
    <n v="4950.74"/>
    <n v="1030.26"/>
    <x v="1"/>
    <x v="1"/>
    <x v="0"/>
    <b v="1"/>
  </r>
  <r>
    <n v="304"/>
    <d v="2021-02-28T00:00:00"/>
    <x v="6"/>
    <x v="0"/>
    <n v="983498"/>
    <n v="775780"/>
    <n v="760.75"/>
    <n v="1024"/>
    <n v="4"/>
    <n v="0"/>
    <n v="0"/>
    <n v="0"/>
    <n v="1.3199618448529219E-3"/>
    <n v="3.90625E-3"/>
    <n v="0"/>
    <n v="0"/>
    <n v="0.742919921875"/>
    <n v="190.1875"/>
    <n v="0"/>
    <n v="0"/>
    <x v="1"/>
    <x v="1"/>
    <x v="1"/>
    <b v="1"/>
  </r>
  <r>
    <n v="58"/>
    <d v="2021-02-06T00:00:00"/>
    <x v="5"/>
    <x v="1"/>
    <n v="89459845"/>
    <n v="44950"/>
    <n v="6768.87"/>
    <n v="899"/>
    <n v="13"/>
    <n v="1"/>
    <n v="8136"/>
    <n v="0.20197315061450441"/>
    <n v="0.02"/>
    <n v="1.446051167964405E-2"/>
    <n v="7.6923076923076927E-2"/>
    <n v="8136"/>
    <n v="7.5293325917686316"/>
    <n v="520.68230769230763"/>
    <n v="6768.87"/>
    <n v="1367.13"/>
    <x v="1"/>
    <x v="2"/>
    <x v="4"/>
    <b v="1"/>
  </r>
  <r>
    <n v="59"/>
    <d v="2021-02-06T00:00:00"/>
    <x v="5"/>
    <x v="1"/>
    <n v="127823"/>
    <n v="478400"/>
    <n v="22542"/>
    <n v="2392"/>
    <n v="48"/>
    <n v="6"/>
    <n v="13152"/>
    <n v="-0.41655576257652382"/>
    <n v="5.0000000000000001E-3"/>
    <n v="2.006688963210702E-2"/>
    <n v="0.125"/>
    <n v="2192"/>
    <n v="9.4239130434782616"/>
    <n v="469.625"/>
    <n v="3757"/>
    <n v="-9390"/>
    <x v="1"/>
    <x v="2"/>
    <x v="5"/>
    <b v="1"/>
  </r>
  <r>
    <n v="60"/>
    <d v="2021-02-06T00:00:00"/>
    <x v="5"/>
    <x v="2"/>
    <n v="10934"/>
    <n v="472252"/>
    <n v="80971.399999999994"/>
    <n v="4508"/>
    <n v="133"/>
    <n v="27"/>
    <n v="215487"/>
    <n v="1.661272992686307"/>
    <n v="9.5457509973488723E-3"/>
    <n v="2.9503105590062109E-2"/>
    <n v="0.2030075187969925"/>
    <n v="7981"/>
    <n v="17.961712511091392"/>
    <n v="608.80751879699244"/>
    <n v="2998.9407407407411"/>
    <n v="134515.6"/>
    <x v="1"/>
    <x v="3"/>
    <x v="6"/>
    <b v="1"/>
  </r>
  <r>
    <n v="65"/>
    <d v="2021-02-06T00:00:00"/>
    <x v="5"/>
    <x v="2"/>
    <n v="374754"/>
    <n v="300700"/>
    <n v="8289.2099999999991"/>
    <n v="3007"/>
    <n v="20"/>
    <n v="2"/>
    <n v="9450"/>
    <n v="0.14003626401068389"/>
    <n v="0.01"/>
    <n v="6.6511473229132027E-3"/>
    <n v="0.1"/>
    <n v="4725"/>
    <n v="2.7566378450282669"/>
    <n v="414.46050000000002"/>
    <n v="4144.6049999999996"/>
    <n v="1160.7900000000011"/>
    <x v="1"/>
    <x v="1"/>
    <x v="6"/>
    <b v="1"/>
  </r>
  <r>
    <n v="66"/>
    <d v="2021-02-06T00:00:00"/>
    <x v="5"/>
    <x v="3"/>
    <n v="39889"/>
    <n v="42070000"/>
    <n v="38185.199999999997"/>
    <n v="4207"/>
    <n v="84"/>
    <n v="10"/>
    <n v="48820"/>
    <n v="0.27850580853314899"/>
    <n v="1E-4"/>
    <n v="1.996672212978369E-2"/>
    <n v="0.119047619047619"/>
    <n v="4882"/>
    <n v="9.0765866413120975"/>
    <n v="454.58571428571418"/>
    <n v="3818.52"/>
    <n v="10634.8"/>
    <x v="1"/>
    <x v="4"/>
    <x v="7"/>
    <b v="1"/>
  </r>
  <r>
    <n v="69"/>
    <d v="2021-02-07T00:00:00"/>
    <x v="6"/>
    <x v="1"/>
    <n v="89459845"/>
    <n v="44650"/>
    <n v="6426"/>
    <n v="893"/>
    <n v="18"/>
    <n v="2"/>
    <n v="14152"/>
    <n v="1.2023031434796141"/>
    <n v="0.02"/>
    <n v="2.0156774916013441E-2"/>
    <n v="0.1111111111111111"/>
    <n v="7076"/>
    <n v="7.195968645016797"/>
    <n v="357"/>
    <n v="3213"/>
    <n v="7726"/>
    <x v="1"/>
    <x v="2"/>
    <x v="4"/>
    <b v="1"/>
  </r>
  <r>
    <n v="70"/>
    <d v="2021-02-07T00:00:00"/>
    <x v="6"/>
    <x v="1"/>
    <n v="127823"/>
    <n v="1137473"/>
    <n v="18102.099999999999"/>
    <n v="2404"/>
    <n v="48"/>
    <n v="5"/>
    <n v="17845"/>
    <n v="-1.420277205407099E-2"/>
    <n v="2.1134567589736202E-3"/>
    <n v="1.996672212978369E-2"/>
    <n v="0.1041666666666667"/>
    <n v="3569"/>
    <n v="7.5299916805324454"/>
    <n v="377.1270833333333"/>
    <n v="3620.42"/>
    <n v="-257.09999999999849"/>
    <x v="1"/>
    <x v="2"/>
    <x v="5"/>
    <b v="1"/>
  </r>
  <r>
    <n v="71"/>
    <d v="2021-02-07T00:00:00"/>
    <x v="6"/>
    <x v="2"/>
    <n v="10934"/>
    <n v="694624"/>
    <n v="31680.1"/>
    <n v="4505"/>
    <n v="82"/>
    <n v="15"/>
    <n v="119715"/>
    <n v="2.7788706475042688"/>
    <n v="6.4855231031464514E-3"/>
    <n v="1.8201997780244169E-2"/>
    <n v="0.18292682926829271"/>
    <n v="7981"/>
    <n v="7.0322086570477236"/>
    <n v="386.34268292682918"/>
    <n v="2112.0066666666671"/>
    <n v="88034.9"/>
    <x v="1"/>
    <x v="3"/>
    <x v="6"/>
    <b v="1"/>
  </r>
  <r>
    <n v="76"/>
    <d v="2021-02-07T00:00:00"/>
    <x v="6"/>
    <x v="2"/>
    <n v="374754"/>
    <n v="300700"/>
    <n v="46167.6"/>
    <n v="3007"/>
    <n v="93"/>
    <n v="12"/>
    <n v="68076"/>
    <n v="0.47454058690510231"/>
    <n v="0.01"/>
    <n v="3.0927835051546389E-2"/>
    <n v="0.1290322580645161"/>
    <n v="5673"/>
    <n v="15.353375457266379"/>
    <n v="496.42580645161291"/>
    <n v="3847.3"/>
    <n v="21908.400000000001"/>
    <x v="1"/>
    <x v="1"/>
    <x v="6"/>
    <b v="1"/>
  </r>
  <r>
    <n v="77"/>
    <d v="2021-02-07T00:00:00"/>
    <x v="6"/>
    <x v="3"/>
    <n v="39889"/>
    <n v="3957603"/>
    <n v="79987.7"/>
    <n v="4203"/>
    <n v="142"/>
    <n v="27"/>
    <n v="90504"/>
    <n v="0.13147396412198381"/>
    <n v="1.0620064720994E-3"/>
    <n v="3.3785391387104451E-2"/>
    <n v="0.1901408450704225"/>
    <n v="3352"/>
    <n v="19.031096835593619"/>
    <n v="563.29366197183094"/>
    <n v="2962.5074074074068"/>
    <n v="10516.3"/>
    <x v="1"/>
    <x v="4"/>
    <x v="7"/>
    <b v="1"/>
  </r>
  <r>
    <n v="135"/>
    <d v="2021-02-13T00:00:00"/>
    <x v="5"/>
    <x v="1"/>
    <n v="89459845"/>
    <n v="225350"/>
    <n v="61588.1"/>
    <n v="4507"/>
    <n v="100"/>
    <n v="17"/>
    <n v="152660"/>
    <n v="1.4787255979645419"/>
    <n v="0.02"/>
    <n v="2.218770800976259E-2"/>
    <n v="0.17"/>
    <n v="8980"/>
    <n v="13.66498779676059"/>
    <n v="615.88099999999997"/>
    <n v="3622.829411764706"/>
    <n v="91071.9"/>
    <x v="1"/>
    <x v="2"/>
    <x v="4"/>
    <b v="1"/>
  </r>
  <r>
    <n v="136"/>
    <d v="2021-02-13T00:00:00"/>
    <x v="5"/>
    <x v="1"/>
    <n v="127823"/>
    <n v="3452027"/>
    <n v="216562"/>
    <n v="12010"/>
    <n v="378"/>
    <n v="56"/>
    <n v="123088"/>
    <n v="-0.43162697056732019"/>
    <n v="3.479115313987985E-3"/>
    <n v="3.1473771856786008E-2"/>
    <n v="0.14814814814814811"/>
    <n v="2198"/>
    <n v="18.031806827643631"/>
    <n v="572.9153439153439"/>
    <n v="3867.178571428572"/>
    <n v="-93474"/>
    <x v="1"/>
    <x v="2"/>
    <x v="5"/>
    <b v="1"/>
  </r>
  <r>
    <n v="137"/>
    <d v="2021-02-13T00:00:00"/>
    <x v="5"/>
    <x v="2"/>
    <n v="10934"/>
    <n v="2250900"/>
    <n v="205045"/>
    <n v="22509"/>
    <n v="790"/>
    <n v="158"/>
    <n v="1296550"/>
    <n v="5.3232461167060876"/>
    <n v="0.01"/>
    <n v="3.509707228219823E-2"/>
    <n v="0.2"/>
    <n v="8206.0126582278481"/>
    <n v="9.1094673241814377"/>
    <n v="259.55063291139243"/>
    <n v="1297.753164556962"/>
    <n v="1091505"/>
    <x v="1"/>
    <x v="3"/>
    <x v="6"/>
    <b v="1"/>
  </r>
  <r>
    <n v="142"/>
    <d v="2021-02-13T00:00:00"/>
    <x v="5"/>
    <x v="2"/>
    <n v="374754"/>
    <n v="1499200"/>
    <n v="32770.1"/>
    <n v="14992"/>
    <n v="50"/>
    <n v="8"/>
    <n v="43976"/>
    <n v="0.34195501386935051"/>
    <n v="0.01"/>
    <n v="3.3351120597652079E-3"/>
    <n v="0.16"/>
    <n v="5497"/>
    <n v="2.1858391141942368"/>
    <n v="655.40199999999993"/>
    <n v="4096.2624999999998"/>
    <n v="11205.9"/>
    <x v="1"/>
    <x v="1"/>
    <x v="6"/>
    <b v="1"/>
  </r>
  <r>
    <n v="143"/>
    <d v="2021-02-13T00:00:00"/>
    <x v="5"/>
    <x v="3"/>
    <n v="39889"/>
    <n v="17890507"/>
    <n v="390105"/>
    <n v="20993"/>
    <n v="734"/>
    <n v="118"/>
    <n v="353174"/>
    <n v="-9.4669383883826147E-2"/>
    <n v="1.173415599680881E-3"/>
    <n v="3.4964035630924588E-2"/>
    <n v="0.16076294277929151"/>
    <n v="2993"/>
    <n v="18.58262277902158"/>
    <n v="531.47820163487734"/>
    <n v="3305.9745762711859"/>
    <n v="-36931"/>
    <x v="1"/>
    <x v="4"/>
    <x v="7"/>
    <b v="1"/>
  </r>
  <r>
    <n v="146"/>
    <d v="2021-02-14T00:00:00"/>
    <x v="6"/>
    <x v="1"/>
    <n v="89459845"/>
    <n v="263754"/>
    <n v="56440.3"/>
    <n v="5409"/>
    <n v="90"/>
    <n v="11"/>
    <n v="84183"/>
    <n v="0.49154061902576701"/>
    <n v="2.0507745854091309E-2"/>
    <n v="1.6638935108153081E-2"/>
    <n v="0.1222222222222222"/>
    <n v="7653"/>
    <n v="10.43451654649658"/>
    <n v="627.11444444444453"/>
    <n v="5130.9363636363641"/>
    <n v="27742.7"/>
    <x v="1"/>
    <x v="2"/>
    <x v="4"/>
    <b v="1"/>
  </r>
  <r>
    <n v="147"/>
    <d v="2021-02-14T00:00:00"/>
    <x v="6"/>
    <x v="1"/>
    <n v="127823"/>
    <n v="3111389"/>
    <n v="196998"/>
    <n v="14390"/>
    <n v="498"/>
    <n v="48"/>
    <n v="101280"/>
    <n v="-0.48588310541223773"/>
    <n v="4.6249440362487624E-3"/>
    <n v="3.4607366226546213E-2"/>
    <n v="9.6385542168674704E-2"/>
    <n v="2110"/>
    <n v="13.689923558026409"/>
    <n v="395.57831325301203"/>
    <n v="4104.125"/>
    <n v="-95718"/>
    <x v="1"/>
    <x v="2"/>
    <x v="5"/>
    <b v="1"/>
  </r>
  <r>
    <n v="148"/>
    <d v="2021-02-14T00:00:00"/>
    <x v="6"/>
    <x v="2"/>
    <n v="10934"/>
    <n v="2511956"/>
    <n v="231751"/>
    <n v="26993"/>
    <n v="540"/>
    <n v="85"/>
    <n v="733550"/>
    <n v="2.1652506353802141"/>
    <n v="1.074580924188163E-2"/>
    <n v="2.0005186529841072E-2"/>
    <n v="0.15740740740740741"/>
    <n v="8630"/>
    <n v="8.5855962656985145"/>
    <n v="429.16851851851851"/>
    <n v="2726.482352941176"/>
    <n v="501799"/>
    <x v="1"/>
    <x v="3"/>
    <x v="6"/>
    <b v="1"/>
  </r>
  <r>
    <n v="153"/>
    <d v="2021-02-14T00:00:00"/>
    <x v="6"/>
    <x v="2"/>
    <n v="374754"/>
    <n v="2429465"/>
    <n v="205870"/>
    <n v="17998"/>
    <n v="354"/>
    <n v="53"/>
    <n v="306817"/>
    <n v="0.49034342060523628"/>
    <n v="7.4082153889848184E-3"/>
    <n v="1.966885209467719E-2"/>
    <n v="0.14971751412429379"/>
    <n v="5789"/>
    <n v="11.438493165907319"/>
    <n v="581.55367231638422"/>
    <n v="3884.3396226415089"/>
    <n v="100947"/>
    <x v="1"/>
    <x v="1"/>
    <x v="6"/>
    <b v="1"/>
  </r>
  <r>
    <n v="154"/>
    <d v="2021-02-14T00:00:00"/>
    <x v="6"/>
    <x v="3"/>
    <n v="39889"/>
    <n v="7218480"/>
    <n v="225274"/>
    <n v="25190"/>
    <n v="504"/>
    <n v="76"/>
    <n v="236056"/>
    <n v="4.7861715066985097E-2"/>
    <n v="3.4896543316598511E-3"/>
    <n v="2.0007939658594681E-2"/>
    <n v="0.15079365079365081"/>
    <n v="3106"/>
    <n v="8.9429932512901953"/>
    <n v="446.97222222222217"/>
    <n v="2964.1315789473679"/>
    <n v="10782"/>
    <x v="1"/>
    <x v="4"/>
    <x v="7"/>
    <b v="1"/>
  </r>
  <r>
    <n v="212"/>
    <d v="2021-02-20T00:00:00"/>
    <x v="5"/>
    <x v="1"/>
    <n v="89459845"/>
    <n v="540450"/>
    <n v="190469"/>
    <n v="10809"/>
    <n v="359"/>
    <n v="47"/>
    <n v="365378"/>
    <n v="0.91830691608608228"/>
    <n v="0.02"/>
    <n v="3.3213063188084001E-2"/>
    <n v="0.1309192200557103"/>
    <n v="7774"/>
    <n v="17.621334073457309"/>
    <n v="530.55431754874655"/>
    <n v="4052.5319148936169"/>
    <n v="174909"/>
    <x v="1"/>
    <x v="2"/>
    <x v="4"/>
    <b v="1"/>
  </r>
  <r>
    <n v="213"/>
    <d v="2021-02-20T00:00:00"/>
    <x v="5"/>
    <x v="1"/>
    <n v="127823"/>
    <n v="5762000"/>
    <n v="435770"/>
    <n v="28810"/>
    <n v="732"/>
    <n v="96"/>
    <n v="253440"/>
    <n v="-0.41840879362966699"/>
    <n v="5.0000000000000001E-3"/>
    <n v="2.540784449843804E-2"/>
    <n v="0.13114754098360659"/>
    <n v="2640"/>
    <n v="15.125650815688999"/>
    <n v="595.31420765027326"/>
    <n v="4539.270833333333"/>
    <n v="-182330"/>
    <x v="1"/>
    <x v="2"/>
    <x v="5"/>
    <b v="1"/>
  </r>
  <r>
    <n v="214"/>
    <d v="2021-02-20T00:00:00"/>
    <x v="5"/>
    <x v="2"/>
    <n v="10934"/>
    <n v="5399300"/>
    <n v="303860"/>
    <n v="53993"/>
    <n v="1094"/>
    <n v="182"/>
    <n v="1452540"/>
    <n v="3.7802935562430071"/>
    <n v="0.01"/>
    <n v="2.026188580001111E-2"/>
    <n v="0.1663619744058501"/>
    <n v="7980.9890109890111"/>
    <n v="5.6277665623321544"/>
    <n v="277.7513711151737"/>
    <n v="1669.56043956044"/>
    <n v="1148680"/>
    <x v="1"/>
    <x v="3"/>
    <x v="6"/>
    <b v="1"/>
  </r>
  <r>
    <n v="219"/>
    <d v="2021-02-20T00:00:00"/>
    <x v="5"/>
    <x v="2"/>
    <n v="374754"/>
    <n v="5497354"/>
    <n v="504576"/>
    <n v="35994"/>
    <n v="822"/>
    <n v="137"/>
    <n v="682397"/>
    <n v="0.35241668252156272"/>
    <n v="6.5475135856268296E-3"/>
    <n v="2.2837139523253881E-2"/>
    <n v="0.16666666666666671"/>
    <n v="4981"/>
    <n v="14.018336389398231"/>
    <n v="613.83941605839414"/>
    <n v="3683.0364963503648"/>
    <n v="177821"/>
    <x v="1"/>
    <x v="1"/>
    <x v="6"/>
    <b v="1"/>
  </r>
  <r>
    <n v="220"/>
    <d v="2021-02-20T00:00:00"/>
    <x v="5"/>
    <x v="3"/>
    <n v="39889"/>
    <n v="26012342"/>
    <n v="750361"/>
    <n v="50408"/>
    <n v="1678"/>
    <n v="252"/>
    <n v="1003210"/>
    <n v="0.33696980520043018"/>
    <n v="1.9378493485899891E-3"/>
    <n v="3.3288366925884778E-2"/>
    <n v="0.1501787842669845"/>
    <n v="3980.9920634920641"/>
    <n v="14.88575226154579"/>
    <n v="447.17580452920151"/>
    <n v="2977.6230158730159"/>
    <n v="252849"/>
    <x v="1"/>
    <x v="4"/>
    <x v="7"/>
    <b v="1"/>
  </r>
  <r>
    <n v="223"/>
    <d v="2021-02-21T00:00:00"/>
    <x v="6"/>
    <x v="1"/>
    <n v="89459845"/>
    <n v="49655"/>
    <n v="9444.1200000000008"/>
    <n v="907"/>
    <n v="18"/>
    <n v="2"/>
    <n v="15962"/>
    <n v="0.69015217934545503"/>
    <n v="1.82660356459571E-2"/>
    <n v="1.984564498346196E-2"/>
    <n v="0.1111111111111111"/>
    <n v="7981"/>
    <n v="10.412480705622929"/>
    <n v="524.6733333333334"/>
    <n v="4722.0600000000004"/>
    <n v="6517.8799999999992"/>
    <x v="1"/>
    <x v="2"/>
    <x v="4"/>
    <b v="1"/>
  </r>
  <r>
    <n v="224"/>
    <d v="2021-02-21T00:00:00"/>
    <x v="6"/>
    <x v="1"/>
    <n v="127823"/>
    <n v="478400"/>
    <n v="17476.2"/>
    <n v="2392"/>
    <n v="48"/>
    <n v="5"/>
    <n v="12910"/>
    <n v="-0.26128105652258499"/>
    <n v="5.0000000000000001E-3"/>
    <n v="2.006688963210702E-2"/>
    <n v="0.1041666666666667"/>
    <n v="2582"/>
    <n v="7.306103678929766"/>
    <n v="364.08749999999998"/>
    <n v="3495.24"/>
    <n v="-4566.2000000000007"/>
    <x v="1"/>
    <x v="2"/>
    <x v="5"/>
    <b v="1"/>
  </r>
  <r>
    <n v="225"/>
    <d v="2021-02-21T00:00:00"/>
    <x v="6"/>
    <x v="2"/>
    <n v="10934"/>
    <n v="713896"/>
    <n v="30801"/>
    <n v="4507"/>
    <n v="90"/>
    <n v="20"/>
    <n v="159620"/>
    <n v="4.1822992759975328"/>
    <n v="6.3132445062025842E-3"/>
    <n v="1.9968937208786331E-2"/>
    <n v="0.22222222222222221"/>
    <n v="7981"/>
    <n v="6.8340359440869758"/>
    <n v="342.23333333333329"/>
    <n v="1540.05"/>
    <n v="128819"/>
    <x v="1"/>
    <x v="3"/>
    <x v="6"/>
    <b v="1"/>
  </r>
  <r>
    <n v="230"/>
    <d v="2021-02-21T00:00:00"/>
    <x v="6"/>
    <x v="2"/>
    <n v="374754"/>
    <n v="300900"/>
    <n v="65006.3"/>
    <n v="3009"/>
    <n v="89"/>
    <n v="17"/>
    <n v="84677"/>
    <n v="0.30259682523078518"/>
    <n v="0.01"/>
    <n v="2.9577932868062481E-2"/>
    <n v="0.1910112359550562"/>
    <n v="4981"/>
    <n v="21.603954802259889"/>
    <n v="730.40786516853939"/>
    <n v="3823.9"/>
    <n v="19670.7"/>
    <x v="1"/>
    <x v="1"/>
    <x v="6"/>
    <b v="1"/>
  </r>
  <r>
    <n v="231"/>
    <d v="2021-02-21T00:00:00"/>
    <x v="6"/>
    <x v="3"/>
    <n v="39889"/>
    <n v="42080000"/>
    <n v="25023.200000000001"/>
    <n v="4208"/>
    <n v="67"/>
    <n v="10"/>
    <n v="31710"/>
    <n v="0.26722401611304708"/>
    <n v="1E-4"/>
    <n v="1.5922053231939161E-2"/>
    <n v="0.1492537313432836"/>
    <n v="3171"/>
    <n v="5.9465779467680608"/>
    <n v="373.48059701492542"/>
    <n v="2502.3200000000002"/>
    <n v="6686.7999999999993"/>
    <x v="1"/>
    <x v="4"/>
    <x v="7"/>
    <b v="1"/>
  </r>
  <r>
    <n v="289"/>
    <d v="2021-02-27T00:00:00"/>
    <x v="5"/>
    <x v="1"/>
    <n v="89459845"/>
    <n v="4662"/>
    <n v="1754.25"/>
    <n v="83"/>
    <n v="2"/>
    <n v="0"/>
    <n v="0"/>
    <n v="0"/>
    <n v="1.7803517803517799E-2"/>
    <n v="2.4096385542168679E-2"/>
    <n v="0"/>
    <n v="0"/>
    <n v="21.1355421686747"/>
    <n v="877.125"/>
    <n v="0"/>
    <n v="0"/>
    <x v="1"/>
    <x v="2"/>
    <x v="4"/>
    <b v="1"/>
  </r>
  <r>
    <n v="290"/>
    <d v="2021-02-27T00:00:00"/>
    <x v="5"/>
    <x v="1"/>
    <n v="127823"/>
    <n v="40004"/>
    <n v="1487.24"/>
    <n v="243"/>
    <n v="5"/>
    <n v="0"/>
    <n v="0"/>
    <n v="0"/>
    <n v="6.0743925607439258E-3"/>
    <n v="2.0576131687242798E-2"/>
    <n v="0"/>
    <n v="0"/>
    <n v="6.1203292181069946"/>
    <n v="297.44799999999998"/>
    <n v="0"/>
    <n v="0"/>
    <x v="1"/>
    <x v="2"/>
    <x v="5"/>
    <b v="1"/>
  </r>
  <r>
    <n v="291"/>
    <d v="2021-02-27T00:00:00"/>
    <x v="5"/>
    <x v="2"/>
    <n v="10934"/>
    <n v="44000"/>
    <n v="5721.83"/>
    <n v="440"/>
    <n v="15"/>
    <n v="3"/>
    <n v="23943"/>
    <n v="3.1845004133293018"/>
    <n v="0.01"/>
    <n v="3.4090909090909088E-2"/>
    <n v="0.2"/>
    <n v="7981"/>
    <n v="13.00415909090909"/>
    <n v="381.45533333333327"/>
    <n v="1907.2766666666671"/>
    <n v="18221.169999999998"/>
    <x v="1"/>
    <x v="3"/>
    <x v="6"/>
    <b v="1"/>
  </r>
  <r>
    <n v="296"/>
    <d v="2021-02-27T00:00:00"/>
    <x v="5"/>
    <x v="2"/>
    <n v="374754"/>
    <n v="24018"/>
    <n v="3524.08"/>
    <n v="298"/>
    <n v="6"/>
    <n v="1"/>
    <n v="4661"/>
    <n v="0.32261469660166631"/>
    <n v="1.2407361145807309E-2"/>
    <n v="2.0134228187919458E-2"/>
    <n v="0.16666666666666671"/>
    <n v="4661"/>
    <n v="11.825771812080539"/>
    <n v="587.34666666666669"/>
    <n v="3524.08"/>
    <n v="1136.92"/>
    <x v="1"/>
    <x v="1"/>
    <x v="6"/>
    <b v="1"/>
  </r>
  <r>
    <n v="297"/>
    <d v="2021-02-27T00:00:00"/>
    <x v="5"/>
    <x v="3"/>
    <n v="39889"/>
    <n v="182546"/>
    <n v="2791.06"/>
    <n v="426"/>
    <n v="9"/>
    <n v="1"/>
    <n v="3981"/>
    <n v="0.42633981354754108"/>
    <n v="2.3336583655626528E-3"/>
    <n v="2.1126760563380281E-2"/>
    <n v="0.1111111111111111"/>
    <n v="3981"/>
    <n v="6.5517840375586864"/>
    <n v="310.11777777777769"/>
    <n v="2791.06"/>
    <n v="1189.94"/>
    <x v="1"/>
    <x v="4"/>
    <x v="7"/>
    <b v="1"/>
  </r>
  <r>
    <n v="300"/>
    <d v="2021-02-28T00:00:00"/>
    <x v="6"/>
    <x v="1"/>
    <n v="89459845"/>
    <n v="11554"/>
    <n v="3529.73"/>
    <n v="187"/>
    <n v="5"/>
    <n v="1"/>
    <n v="8714"/>
    <n v="1.46874406824318"/>
    <n v="1.6184871040332349E-2"/>
    <n v="2.6737967914438499E-2"/>
    <n v="0.2"/>
    <n v="8714"/>
    <n v="18.875561497326199"/>
    <n v="705.94600000000003"/>
    <n v="3529.73"/>
    <n v="5184.2700000000004"/>
    <x v="1"/>
    <x v="2"/>
    <x v="4"/>
    <b v="1"/>
  </r>
  <r>
    <n v="301"/>
    <d v="2021-02-28T00:00:00"/>
    <x v="6"/>
    <x v="1"/>
    <n v="127823"/>
    <n v="55625"/>
    <n v="384.75"/>
    <n v="487"/>
    <n v="1"/>
    <n v="0"/>
    <n v="0"/>
    <n v="0"/>
    <n v="8.7550561797752804E-3"/>
    <n v="2.0533880903490761E-3"/>
    <n v="0"/>
    <n v="0"/>
    <n v="0.79004106776180694"/>
    <n v="384.75"/>
    <n v="0"/>
    <n v="0"/>
    <x v="1"/>
    <x v="2"/>
    <x v="5"/>
    <b v="1"/>
  </r>
  <r>
    <n v="302"/>
    <d v="2021-02-28T00:00:00"/>
    <x v="6"/>
    <x v="2"/>
    <n v="10934"/>
    <n v="129025"/>
    <n v="9892.77"/>
    <n v="909"/>
    <n v="21"/>
    <n v="5"/>
    <n v="37450"/>
    <n v="2.7855929128039971"/>
    <n v="7.0451462894787834E-3"/>
    <n v="2.3102310231023101E-2"/>
    <n v="0.23809523809523811"/>
    <n v="7490"/>
    <n v="10.88313531353135"/>
    <n v="471.08428571428573"/>
    <n v="1978.5540000000001"/>
    <n v="27557.23"/>
    <x v="1"/>
    <x v="3"/>
    <x v="6"/>
    <b v="1"/>
  </r>
  <r>
    <n v="307"/>
    <d v="2021-02-28T00:00:00"/>
    <x v="6"/>
    <x v="2"/>
    <n v="374754"/>
    <n v="94058"/>
    <n v="4845.6499999999996"/>
    <n v="594"/>
    <n v="12"/>
    <n v="1"/>
    <n v="5008"/>
    <n v="3.3504277031977212E-2"/>
    <n v="6.3152522911395096E-3"/>
    <n v="2.02020202020202E-2"/>
    <n v="8.3333333333333329E-2"/>
    <n v="5008"/>
    <n v="8.1576599326599322"/>
    <n v="403.80416666666662"/>
    <n v="4845.6499999999996"/>
    <n v="162.35000000000039"/>
    <x v="1"/>
    <x v="1"/>
    <x v="6"/>
    <b v="1"/>
  </r>
  <r>
    <n v="308"/>
    <d v="2021-02-28T00:00:00"/>
    <x v="6"/>
    <x v="3"/>
    <n v="39889"/>
    <n v="8490000"/>
    <n v="6822.62"/>
    <n v="849"/>
    <n v="18"/>
    <n v="2"/>
    <n v="7030"/>
    <n v="3.039594759784366E-2"/>
    <n v="1E-4"/>
    <n v="2.1201413427561839E-2"/>
    <n v="0.1111111111111111"/>
    <n v="3515"/>
    <n v="8.0360659599528859"/>
    <n v="379.03444444444438"/>
    <n v="3411.31"/>
    <n v="207.38000000000011"/>
    <x v="1"/>
    <x v="4"/>
    <x v="7"/>
    <b v="1"/>
  </r>
  <r>
    <n v="3"/>
    <d v="2021-02-01T00:00:00"/>
    <x v="0"/>
    <x v="1"/>
    <n v="89459845"/>
    <n v="22850"/>
    <n v="5221.6000000000004"/>
    <n v="457"/>
    <n v="9"/>
    <n v="1"/>
    <n v="7981"/>
    <n v="0.52845870997395428"/>
    <n v="0.02"/>
    <n v="1.9693654266958429E-2"/>
    <n v="0.1111111111111111"/>
    <n v="7981"/>
    <n v="11.42582056892779"/>
    <n v="580.17777777777781"/>
    <n v="5221.6000000000004"/>
    <n v="2759.4"/>
    <x v="0"/>
    <x v="2"/>
    <x v="4"/>
    <b v="1"/>
  </r>
  <r>
    <n v="4"/>
    <d v="2021-02-01T00:00:00"/>
    <x v="0"/>
    <x v="1"/>
    <n v="127823"/>
    <n v="147038"/>
    <n v="6037"/>
    <n v="1196"/>
    <n v="24"/>
    <n v="1"/>
    <n v="2114"/>
    <n v="-0.64982607255259239"/>
    <n v="8.1339517675702872E-3"/>
    <n v="2.006688963210702E-2"/>
    <n v="4.1666666666666657E-2"/>
    <n v="2114"/>
    <n v="5.0476588628762542"/>
    <n v="251.54166666666671"/>
    <n v="6037"/>
    <n v="-3923"/>
    <x v="0"/>
    <x v="2"/>
    <x v="5"/>
    <b v="1"/>
  </r>
  <r>
    <n v="5"/>
    <d v="2021-02-01T00:00:00"/>
    <x v="0"/>
    <x v="2"/>
    <n v="10934"/>
    <n v="225800"/>
    <n v="29962.2"/>
    <n v="2258"/>
    <n v="49"/>
    <n v="10"/>
    <n v="84490"/>
    <n v="1.819886390184966"/>
    <n v="0.01"/>
    <n v="2.1700620017714788E-2"/>
    <n v="0.2040816326530612"/>
    <n v="8449"/>
    <n v="13.26935341009743"/>
    <n v="611.47346938775513"/>
    <n v="2996.22"/>
    <n v="54527.8"/>
    <x v="0"/>
    <x v="3"/>
    <x v="6"/>
    <b v="1"/>
  </r>
  <r>
    <n v="10"/>
    <d v="2021-02-01T00:00:00"/>
    <x v="0"/>
    <x v="2"/>
    <n v="374754"/>
    <n v="120436"/>
    <n v="23604.1"/>
    <n v="1498"/>
    <n v="49"/>
    <n v="7"/>
    <n v="39081"/>
    <n v="0.65568693574421399"/>
    <n v="1.243814141950912E-2"/>
    <n v="3.2710280373831772E-2"/>
    <n v="0.14285714285714279"/>
    <n v="5583"/>
    <n v="15.75707610146862"/>
    <n v="481.71632653061221"/>
    <n v="3372.014285714286"/>
    <n v="15476.9"/>
    <x v="0"/>
    <x v="1"/>
    <x v="6"/>
    <b v="1"/>
  </r>
  <r>
    <n v="11"/>
    <d v="2021-02-01T00:00:00"/>
    <x v="0"/>
    <x v="3"/>
    <n v="39889"/>
    <n v="20900000"/>
    <n v="931.99"/>
    <n v="2090"/>
    <n v="3"/>
    <n v="0"/>
    <n v="0"/>
    <n v="0"/>
    <n v="1E-4"/>
    <n v="1.4354066985645931E-3"/>
    <n v="0"/>
    <n v="0"/>
    <n v="0.44592822966507178"/>
    <n v="310.66333333333341"/>
    <n v="0"/>
    <n v="0"/>
    <x v="0"/>
    <x v="4"/>
    <x v="7"/>
    <b v="1"/>
  </r>
  <r>
    <n v="14"/>
    <d v="2021-02-02T00:00:00"/>
    <x v="1"/>
    <x v="1"/>
    <n v="89459845"/>
    <n v="43806"/>
    <n v="11446.7"/>
    <n v="907"/>
    <n v="18"/>
    <n v="3"/>
    <n v="23943"/>
    <n v="1.091694549520823"/>
    <n v="2.0704926265808339E-2"/>
    <n v="1.984564498346196E-2"/>
    <n v="0.16666666666666671"/>
    <n v="7981"/>
    <n v="12.62039691289967"/>
    <n v="635.92777777777781"/>
    <n v="3815.5666666666671"/>
    <n v="12496.3"/>
    <x v="0"/>
    <x v="2"/>
    <x v="4"/>
    <b v="1"/>
  </r>
  <r>
    <n v="15"/>
    <d v="2021-02-02T00:00:00"/>
    <x v="1"/>
    <x v="1"/>
    <n v="127823"/>
    <n v="314704"/>
    <n v="15153.6"/>
    <n v="2395"/>
    <n v="39"/>
    <n v="4"/>
    <n v="12540"/>
    <n v="-0.17247386759581879"/>
    <n v="7.6103258935380554E-3"/>
    <n v="1.6283924843423801E-2"/>
    <n v="0.1025641025641026"/>
    <n v="3135"/>
    <n v="6.3271816283924842"/>
    <n v="388.55384615384622"/>
    <n v="3788.4"/>
    <n v="-2613.6"/>
    <x v="0"/>
    <x v="2"/>
    <x v="5"/>
    <b v="1"/>
  </r>
  <r>
    <n v="16"/>
    <d v="2021-02-02T00:00:00"/>
    <x v="1"/>
    <x v="2"/>
    <n v="10934"/>
    <n v="449200"/>
    <n v="42301.1"/>
    <n v="4492"/>
    <n v="85"/>
    <n v="17"/>
    <n v="149141"/>
    <n v="2.5257002772977528"/>
    <n v="0.01"/>
    <n v="1.8922528940338381E-2"/>
    <n v="0.2"/>
    <n v="8773"/>
    <n v="9.416985752448797"/>
    <n v="497.66"/>
    <n v="2488.3000000000002"/>
    <n v="106839.9"/>
    <x v="0"/>
    <x v="3"/>
    <x v="6"/>
    <b v="1"/>
  </r>
  <r>
    <n v="21"/>
    <d v="2021-02-02T00:00:00"/>
    <x v="1"/>
    <x v="2"/>
    <n v="374754"/>
    <n v="299600"/>
    <n v="13919.1"/>
    <n v="2996"/>
    <n v="19"/>
    <n v="3"/>
    <n v="14466"/>
    <n v="3.9291333491389503E-2"/>
    <n v="0.01"/>
    <n v="6.3417890520694256E-3"/>
    <n v="0.15789473684210531"/>
    <n v="4822"/>
    <n v="4.6458945260347129"/>
    <n v="732.58421052631581"/>
    <n v="4639.7"/>
    <n v="546.89999999999964"/>
    <x v="0"/>
    <x v="1"/>
    <x v="6"/>
    <b v="1"/>
  </r>
  <r>
    <n v="22"/>
    <d v="2021-02-02T00:00:00"/>
    <x v="1"/>
    <x v="3"/>
    <n v="39889"/>
    <n v="42000000"/>
    <n v="46159.8"/>
    <n v="4200"/>
    <n v="92"/>
    <n v="13"/>
    <n v="51753"/>
    <n v="0.121170369022396"/>
    <n v="1E-4"/>
    <n v="2.190476190476191E-2"/>
    <n v="0.14130434782608689"/>
    <n v="3981"/>
    <n v="10.99042857142857"/>
    <n v="501.73695652173922"/>
    <n v="3550.753846153847"/>
    <n v="5593.1999999999971"/>
    <x v="0"/>
    <x v="4"/>
    <x v="7"/>
    <b v="1"/>
  </r>
  <r>
    <n v="25"/>
    <d v="2021-02-03T00:00:00"/>
    <x v="2"/>
    <x v="1"/>
    <n v="89459845"/>
    <n v="134900"/>
    <n v="77345.5"/>
    <n v="2698"/>
    <n v="84"/>
    <n v="16"/>
    <n v="115856"/>
    <n v="0.49790226968601919"/>
    <n v="0.02"/>
    <n v="3.113417346182357E-2"/>
    <n v="0.19047619047619049"/>
    <n v="7241"/>
    <n v="28.66771682727947"/>
    <n v="920.77976190476193"/>
    <n v="4834.09375"/>
    <n v="38510.5"/>
    <x v="0"/>
    <x v="2"/>
    <x v="4"/>
    <b v="1"/>
  </r>
  <r>
    <n v="26"/>
    <d v="2021-02-03T00:00:00"/>
    <x v="2"/>
    <x v="1"/>
    <n v="127823"/>
    <n v="4371854"/>
    <n v="49498.9"/>
    <n v="7207"/>
    <n v="144"/>
    <n v="13"/>
    <n v="38753"/>
    <n v="-0.21709371319362661"/>
    <n v="1.6484996982973361E-3"/>
    <n v="1.998057444151519E-2"/>
    <n v="9.0277777777777776E-2"/>
    <n v="2981"/>
    <n v="6.8681698348827531"/>
    <n v="343.74236111111111"/>
    <n v="3807.607692307693"/>
    <n v="-10745.9"/>
    <x v="0"/>
    <x v="2"/>
    <x v="5"/>
    <b v="1"/>
  </r>
  <r>
    <n v="27"/>
    <d v="2021-02-03T00:00:00"/>
    <x v="2"/>
    <x v="2"/>
    <n v="10934"/>
    <n v="1035261"/>
    <n v="189341"/>
    <n v="13503"/>
    <n v="455"/>
    <n v="91"/>
    <n v="772499"/>
    <n v="3.0799351434713031"/>
    <n v="1.304308768513447E-2"/>
    <n v="3.3696215655780203E-2"/>
    <n v="0.2"/>
    <n v="8489"/>
    <n v="14.02214322743094"/>
    <n v="416.13406593406592"/>
    <n v="2080.670329670329"/>
    <n v="583158"/>
    <x v="0"/>
    <x v="3"/>
    <x v="6"/>
    <b v="1"/>
  </r>
  <r>
    <n v="32"/>
    <d v="2021-02-03T00:00:00"/>
    <x v="2"/>
    <x v="2"/>
    <n v="374754"/>
    <n v="667352"/>
    <n v="194336"/>
    <n v="8996"/>
    <n v="342"/>
    <n v="51"/>
    <n v="254031"/>
    <n v="0.30717417256710028"/>
    <n v="1.3480142413598821E-2"/>
    <n v="3.8016896398399287E-2"/>
    <n v="0.14912280701754391"/>
    <n v="4981"/>
    <n v="21.602489995553579"/>
    <n v="568.23391812865498"/>
    <n v="3810.5098039215691"/>
    <n v="59695"/>
    <x v="0"/>
    <x v="1"/>
    <x v="6"/>
    <b v="1"/>
  </r>
  <r>
    <n v="33"/>
    <d v="2021-02-03T00:00:00"/>
    <x v="2"/>
    <x v="3"/>
    <n v="39889"/>
    <n v="125910000"/>
    <n v="29378.3"/>
    <n v="12591"/>
    <n v="68"/>
    <n v="13"/>
    <n v="51753"/>
    <n v="0.76160635571152857"/>
    <n v="1E-4"/>
    <n v="5.4006830275593679E-3"/>
    <n v="0.19117647058823531"/>
    <n v="3981"/>
    <n v="2.3332777380668732"/>
    <n v="432.03382352941168"/>
    <n v="2259.8692307692309"/>
    <n v="22374.7"/>
    <x v="0"/>
    <x v="4"/>
    <x v="7"/>
    <b v="1"/>
  </r>
  <r>
    <n v="36"/>
    <d v="2021-02-04T00:00:00"/>
    <x v="3"/>
    <x v="1"/>
    <n v="89459845"/>
    <n v="196484"/>
    <n v="41269.599999999999"/>
    <n v="3599"/>
    <n v="55"/>
    <n v="9"/>
    <n v="68589"/>
    <n v="0.66197394692461287"/>
    <n v="1.8317013090124391E-2"/>
    <n v="1.5282022784106701E-2"/>
    <n v="0.16363636363636361"/>
    <n v="7621"/>
    <n v="11.46696304529036"/>
    <n v="750.35636363636365"/>
    <n v="4585.5111111111109"/>
    <n v="27319.4"/>
    <x v="0"/>
    <x v="2"/>
    <x v="4"/>
    <b v="1"/>
  </r>
  <r>
    <n v="37"/>
    <d v="2021-02-04T00:00:00"/>
    <x v="3"/>
    <x v="1"/>
    <n v="127823"/>
    <n v="1531679"/>
    <n v="60108.800000000003"/>
    <n v="9591"/>
    <n v="234"/>
    <n v="17"/>
    <n v="58990"/>
    <n v="-1.8612915247018792E-2"/>
    <n v="6.2617558901049107E-3"/>
    <n v="2.4397873005943069E-2"/>
    <n v="7.2649572649572655E-2"/>
    <n v="3470"/>
    <n v="6.267208841622355"/>
    <n v="256.87521367521367"/>
    <n v="3535.811764705883"/>
    <n v="-1118.8000000000029"/>
    <x v="0"/>
    <x v="2"/>
    <x v="5"/>
    <b v="1"/>
  </r>
  <r>
    <n v="38"/>
    <d v="2021-02-04T00:00:00"/>
    <x v="3"/>
    <x v="2"/>
    <n v="10934"/>
    <n v="2120555"/>
    <n v="185263"/>
    <n v="17993"/>
    <n v="445"/>
    <n v="89"/>
    <n v="624958"/>
    <n v="2.3733557159281671"/>
    <n v="8.4850428307683603E-3"/>
    <n v="2.473184016006225E-2"/>
    <n v="0.2"/>
    <n v="7022"/>
    <n v="10.296393041738449"/>
    <n v="416.32134831460672"/>
    <n v="2081.606741573034"/>
    <n v="439695"/>
    <x v="0"/>
    <x v="3"/>
    <x v="6"/>
    <b v="1"/>
  </r>
  <r>
    <n v="43"/>
    <d v="2021-02-04T00:00:00"/>
    <x v="3"/>
    <x v="2"/>
    <n v="374754"/>
    <n v="1199300"/>
    <n v="149279"/>
    <n v="11993"/>
    <n v="267"/>
    <n v="38"/>
    <n v="224542"/>
    <n v="0.50417674287743086"/>
    <n v="0.01"/>
    <n v="2.226298674226632E-2"/>
    <n v="0.14232209737827711"/>
    <n v="5909"/>
    <n v="12.44717752022013"/>
    <n v="559.09737827715355"/>
    <n v="3928.394736842105"/>
    <n v="75263"/>
    <x v="0"/>
    <x v="1"/>
    <x v="6"/>
    <b v="1"/>
  </r>
  <r>
    <n v="44"/>
    <d v="2021-02-04T00:00:00"/>
    <x v="3"/>
    <x v="3"/>
    <n v="39889"/>
    <n v="41924802"/>
    <n v="177746"/>
    <n v="16806"/>
    <n v="336"/>
    <n v="60"/>
    <n v="204540"/>
    <n v="0.15074319534616809"/>
    <n v="4.0086056935939731E-4"/>
    <n v="1.99928596929668E-2"/>
    <n v="0.1785714285714286"/>
    <n v="3409"/>
    <n v="10.576341782696661"/>
    <n v="529.00595238095241"/>
    <n v="2962.4333333333329"/>
    <n v="26794"/>
    <x v="0"/>
    <x v="4"/>
    <x v="7"/>
    <b v="1"/>
  </r>
  <r>
    <n v="47"/>
    <d v="2021-02-05T00:00:00"/>
    <x v="4"/>
    <x v="1"/>
    <n v="89459845"/>
    <n v="236719"/>
    <n v="96930.6"/>
    <n v="4504"/>
    <n v="151"/>
    <n v="23"/>
    <n v="177882"/>
    <n v="0.83514803374785662"/>
    <n v="1.902677858558037E-2"/>
    <n v="3.3525754884547072E-2"/>
    <n v="0.15231788079470199"/>
    <n v="7734"/>
    <n v="21.521003552397872"/>
    <n v="641.92450331125826"/>
    <n v="4214.3739130434788"/>
    <n v="80951.399999999994"/>
    <x v="0"/>
    <x v="2"/>
    <x v="4"/>
    <b v="1"/>
  </r>
  <r>
    <n v="48"/>
    <d v="2021-02-05T00:00:00"/>
    <x v="4"/>
    <x v="1"/>
    <n v="127823"/>
    <n v="9914040"/>
    <n v="56875.199999999997"/>
    <n v="11993"/>
    <n v="139"/>
    <n v="14"/>
    <n v="49644"/>
    <n v="-0.12714153093088021"/>
    <n v="1.209698568898249E-3"/>
    <n v="1.159009422162928E-2"/>
    <n v="0.10071942446043169"/>
    <n v="3546"/>
    <n v="4.7423663803885594"/>
    <n v="409.17410071942442"/>
    <n v="4062.514285714286"/>
    <n v="-7231.1999999999971"/>
    <x v="0"/>
    <x v="2"/>
    <x v="5"/>
    <b v="1"/>
  </r>
  <r>
    <n v="49"/>
    <d v="2021-02-05T00:00:00"/>
    <x v="4"/>
    <x v="2"/>
    <n v="10934"/>
    <n v="1965108"/>
    <n v="442617"/>
    <n v="22507"/>
    <n v="731"/>
    <n v="146"/>
    <n v="1165230"/>
    <n v="1.632592060404368"/>
    <n v="1.1453314525206759E-2"/>
    <n v="3.2478784378193452E-2"/>
    <n v="0.19972640218878249"/>
    <n v="7981.0273972602736"/>
    <n v="19.665748433820589"/>
    <n v="605.49521203830375"/>
    <n v="3031.6232876712329"/>
    <n v="722613"/>
    <x v="0"/>
    <x v="3"/>
    <x v="6"/>
    <b v="1"/>
  </r>
  <r>
    <n v="54"/>
    <d v="2021-02-05T00:00:00"/>
    <x v="4"/>
    <x v="2"/>
    <n v="374754"/>
    <n v="2153303"/>
    <n v="36431.699999999997"/>
    <n v="15003"/>
    <n v="51"/>
    <n v="8"/>
    <n v="47816"/>
    <n v="0.31248335927228221"/>
    <n v="6.967435609387067E-3"/>
    <n v="3.399320135972805E-3"/>
    <n v="0.15686274509803921"/>
    <n v="5977"/>
    <n v="2.4282943411317741"/>
    <n v="714.34705882352932"/>
    <n v="4553.9624999999996"/>
    <n v="11384.3"/>
    <x v="0"/>
    <x v="1"/>
    <x v="6"/>
    <b v="1"/>
  </r>
  <r>
    <n v="55"/>
    <d v="2021-02-05T00:00:00"/>
    <x v="4"/>
    <x v="3"/>
    <n v="39889"/>
    <n v="8238872"/>
    <n v="427922"/>
    <n v="20997"/>
    <n v="796"/>
    <n v="119"/>
    <n v="471240"/>
    <n v="0.101228728600072"/>
    <n v="2.5485284878803802E-3"/>
    <n v="3.7910177644425391E-2"/>
    <n v="0.14949748743718591"/>
    <n v="3960"/>
    <n v="20.380149545173118"/>
    <n v="537.5904522613065"/>
    <n v="3595.9831932773109"/>
    <n v="43318"/>
    <x v="0"/>
    <x v="4"/>
    <x v="7"/>
    <b v="1"/>
  </r>
  <r>
    <n v="80"/>
    <d v="2021-02-08T00:00:00"/>
    <x v="0"/>
    <x v="1"/>
    <n v="89459845"/>
    <n v="51350"/>
    <n v="6918.85"/>
    <n v="904"/>
    <n v="20"/>
    <n v="2"/>
    <n v="16240"/>
    <n v="1.3472108804208791"/>
    <n v="1.760467380720545E-2"/>
    <n v="2.2123893805309731E-2"/>
    <n v="0.1"/>
    <n v="8120"/>
    <n v="7.6535951327433631"/>
    <n v="345.9425"/>
    <n v="3459.4250000000002"/>
    <n v="9321.15"/>
    <x v="0"/>
    <x v="2"/>
    <x v="4"/>
    <b v="1"/>
  </r>
  <r>
    <n v="81"/>
    <d v="2021-02-08T00:00:00"/>
    <x v="0"/>
    <x v="1"/>
    <n v="127823"/>
    <n v="478000"/>
    <n v="16567.5"/>
    <n v="2390"/>
    <n v="48"/>
    <n v="5"/>
    <n v="16995"/>
    <n v="2.580353100950656E-2"/>
    <n v="5.0000000000000001E-3"/>
    <n v="2.0083682008368201E-2"/>
    <n v="0.1041666666666667"/>
    <n v="3399"/>
    <n v="6.9320083682008367"/>
    <n v="345.15625"/>
    <n v="3313.5"/>
    <n v="427.5"/>
    <x v="0"/>
    <x v="2"/>
    <x v="5"/>
    <b v="1"/>
  </r>
  <r>
    <n v="82"/>
    <d v="2021-02-08T00:00:00"/>
    <x v="0"/>
    <x v="2"/>
    <n v="10934"/>
    <n v="685530"/>
    <n v="33892.6"/>
    <n v="4491"/>
    <n v="79"/>
    <n v="16"/>
    <n v="120176"/>
    <n v="2.545788756247676"/>
    <n v="6.5511356176972558E-3"/>
    <n v="1.7590737029614782E-2"/>
    <n v="0.20253164556962031"/>
    <n v="7511"/>
    <n v="7.5467824537964816"/>
    <n v="429.02025316455689"/>
    <n v="2118.2874999999999"/>
    <n v="86283.4"/>
    <x v="0"/>
    <x v="3"/>
    <x v="6"/>
    <b v="1"/>
  </r>
  <r>
    <n v="87"/>
    <d v="2021-02-08T00:00:00"/>
    <x v="0"/>
    <x v="2"/>
    <n v="374754"/>
    <n v="361650"/>
    <n v="31154.3"/>
    <n v="2991"/>
    <n v="60"/>
    <n v="9"/>
    <n v="45027"/>
    <n v="0.44529005626831608"/>
    <n v="8.2704272086271263E-3"/>
    <n v="2.006018054162487E-2"/>
    <n v="0.15"/>
    <n v="5003"/>
    <n v="10.416014710799059"/>
    <n v="519.23833333333334"/>
    <n v="3461.588888888889"/>
    <n v="13872.7"/>
    <x v="0"/>
    <x v="1"/>
    <x v="6"/>
    <b v="1"/>
  </r>
  <r>
    <n v="88"/>
    <d v="2021-02-08T00:00:00"/>
    <x v="0"/>
    <x v="3"/>
    <n v="39889"/>
    <n v="2233790"/>
    <n v="31883.9"/>
    <n v="4197"/>
    <n v="84"/>
    <n v="10"/>
    <n v="42280"/>
    <n v="0.32606111548461758"/>
    <n v="1.8788695445856589E-3"/>
    <n v="2.0014295925661191E-2"/>
    <n v="0.119047619047619"/>
    <n v="4228"/>
    <n v="7.5968310698117696"/>
    <n v="379.5702380952381"/>
    <n v="3188.39"/>
    <n v="10396.1"/>
    <x v="0"/>
    <x v="4"/>
    <x v="7"/>
    <b v="1"/>
  </r>
  <r>
    <n v="91"/>
    <d v="2021-02-09T00:00:00"/>
    <x v="1"/>
    <x v="1"/>
    <n v="89459845"/>
    <n v="44900"/>
    <n v="3095.21"/>
    <n v="898"/>
    <n v="5"/>
    <n v="1"/>
    <n v="7998"/>
    <n v="1.5839926854720681"/>
    <n v="0.02"/>
    <n v="5.5679287305122494E-3"/>
    <n v="0.2"/>
    <n v="7998"/>
    <n v="3.4467817371937639"/>
    <n v="619.04200000000003"/>
    <n v="3095.21"/>
    <n v="4902.79"/>
    <x v="0"/>
    <x v="2"/>
    <x v="4"/>
    <b v="1"/>
  </r>
  <r>
    <n v="92"/>
    <d v="2021-02-09T00:00:00"/>
    <x v="1"/>
    <x v="1"/>
    <n v="127823"/>
    <n v="478600"/>
    <n v="20299.3"/>
    <n v="2393"/>
    <n v="48"/>
    <n v="5"/>
    <n v="14905"/>
    <n v="-0.2657382274265615"/>
    <n v="5.0000000000000001E-3"/>
    <n v="2.0058503969912239E-2"/>
    <n v="0.1041666666666667"/>
    <n v="2981"/>
    <n v="8.482783117425825"/>
    <n v="422.90208333333328"/>
    <n v="4059.86"/>
    <n v="-5394.2999999999993"/>
    <x v="0"/>
    <x v="2"/>
    <x v="5"/>
    <b v="1"/>
  </r>
  <r>
    <n v="93"/>
    <d v="2021-02-09T00:00:00"/>
    <x v="1"/>
    <x v="2"/>
    <n v="10934"/>
    <n v="491821"/>
    <n v="27833"/>
    <n v="4495"/>
    <n v="90"/>
    <n v="18"/>
    <n v="143658"/>
    <n v="4.1614270829590776"/>
    <n v="9.1395040065389652E-3"/>
    <n v="2.002224694104561E-2"/>
    <n v="0.2"/>
    <n v="7981"/>
    <n v="6.1919911012235813"/>
    <n v="309.25555555555547"/>
    <n v="1546.2777777777781"/>
    <n v="115825"/>
    <x v="0"/>
    <x v="3"/>
    <x v="6"/>
    <b v="1"/>
  </r>
  <r>
    <n v="98"/>
    <d v="2021-02-09T00:00:00"/>
    <x v="1"/>
    <x v="2"/>
    <n v="374754"/>
    <n v="346068"/>
    <n v="57642.400000000001"/>
    <n v="3006"/>
    <n v="99"/>
    <n v="15"/>
    <n v="89460"/>
    <n v="0.55198256838715942"/>
    <n v="8.6861541662332266E-3"/>
    <n v="3.2934131736526949E-2"/>
    <n v="0.15151515151515149"/>
    <n v="5964"/>
    <n v="19.175781769793751"/>
    <n v="582.24646464646469"/>
    <n v="3842.8266666666668"/>
    <n v="31817.599999999999"/>
    <x v="0"/>
    <x v="1"/>
    <x v="6"/>
    <b v="1"/>
  </r>
  <r>
    <n v="99"/>
    <d v="2021-02-09T00:00:00"/>
    <x v="1"/>
    <x v="3"/>
    <n v="39889"/>
    <n v="3736884"/>
    <n v="44731.7"/>
    <n v="4190"/>
    <n v="84"/>
    <n v="13"/>
    <n v="51259"/>
    <n v="0.14592112528698889"/>
    <n v="1.121255034943552E-3"/>
    <n v="2.0047732696897379E-2"/>
    <n v="0.15476190476190479"/>
    <n v="3943"/>
    <n v="10.675823389021479"/>
    <n v="532.52023809523803"/>
    <n v="3440.9"/>
    <n v="6527.3000000000029"/>
    <x v="0"/>
    <x v="4"/>
    <x v="7"/>
    <b v="1"/>
  </r>
  <r>
    <n v="102"/>
    <d v="2021-02-10T00:00:00"/>
    <x v="2"/>
    <x v="1"/>
    <n v="89459845"/>
    <n v="108748"/>
    <n v="51883.1"/>
    <n v="1797"/>
    <n v="57"/>
    <n v="11"/>
    <n v="86724"/>
    <n v="0.67152695193617962"/>
    <n v="1.6524441828815239E-2"/>
    <n v="3.1719532554257093E-2"/>
    <n v="0.19298245614035089"/>
    <n v="7884"/>
    <n v="28.872064552031159"/>
    <n v="910.22982456140346"/>
    <n v="4716.6454545454544"/>
    <n v="34840.9"/>
    <x v="0"/>
    <x v="2"/>
    <x v="4"/>
    <b v="1"/>
  </r>
  <r>
    <n v="103"/>
    <d v="2021-02-10T00:00:00"/>
    <x v="2"/>
    <x v="1"/>
    <n v="127823"/>
    <n v="797238"/>
    <n v="67577.8"/>
    <n v="4797"/>
    <n v="154"/>
    <n v="19"/>
    <n v="42598"/>
    <n v="-0.36964506095196947"/>
    <n v="6.0170237745817432E-3"/>
    <n v="3.2103397957056502E-2"/>
    <n v="0.1233766233766234"/>
    <n v="2242"/>
    <n v="14.08751302897644"/>
    <n v="438.81688311688322"/>
    <n v="3556.726315789474"/>
    <n v="-24979.8"/>
    <x v="0"/>
    <x v="2"/>
    <x v="5"/>
    <b v="1"/>
  </r>
  <r>
    <n v="104"/>
    <d v="2021-02-10T00:00:00"/>
    <x v="2"/>
    <x v="2"/>
    <n v="10934"/>
    <n v="1469962"/>
    <n v="19831.400000000001"/>
    <n v="8998"/>
    <n v="80"/>
    <n v="16"/>
    <n v="130768"/>
    <n v="5.593987313049003"/>
    <n v="6.121246671682669E-3"/>
    <n v="8.8908646365859073E-3"/>
    <n v="0.2"/>
    <n v="8173"/>
    <n v="2.203978661924872"/>
    <n v="247.89250000000001"/>
    <n v="1239.4625000000001"/>
    <n v="110936.6"/>
    <x v="0"/>
    <x v="3"/>
    <x v="6"/>
    <b v="1"/>
  </r>
  <r>
    <n v="109"/>
    <d v="2021-02-10T00:00:00"/>
    <x v="2"/>
    <x v="2"/>
    <n v="374754"/>
    <n v="489728"/>
    <n v="126901"/>
    <n v="6005"/>
    <n v="187"/>
    <n v="34"/>
    <n v="143888"/>
    <n v="0.13386025326829579"/>
    <n v="1.2261908651332981E-2"/>
    <n v="3.1140716069941711E-2"/>
    <n v="0.1818181818181818"/>
    <n v="4232"/>
    <n v="21.132556203164029"/>
    <n v="678.61497326203209"/>
    <n v="3732.382352941177"/>
    <n v="16987"/>
    <x v="0"/>
    <x v="1"/>
    <x v="6"/>
    <b v="1"/>
  </r>
  <r>
    <n v="110"/>
    <d v="2021-02-10T00:00:00"/>
    <x v="2"/>
    <x v="3"/>
    <n v="39889"/>
    <n v="5219501"/>
    <n v="179519"/>
    <n v="8391"/>
    <n v="302"/>
    <n v="60"/>
    <n v="196680"/>
    <n v="9.5594338203755597E-2"/>
    <n v="1.607624943457239E-3"/>
    <n v="3.5990942676677393E-2"/>
    <n v="0.19867549668874171"/>
    <n v="3278"/>
    <n v="21.394231915147181"/>
    <n v="594.43377483443703"/>
    <n v="2991.9833333333331"/>
    <n v="17161"/>
    <x v="0"/>
    <x v="4"/>
    <x v="7"/>
    <b v="1"/>
  </r>
  <r>
    <n v="113"/>
    <d v="2021-02-11T00:00:00"/>
    <x v="3"/>
    <x v="1"/>
    <n v="89459845"/>
    <n v="134600"/>
    <n v="26220.400000000001"/>
    <n v="2692"/>
    <n v="54"/>
    <n v="6"/>
    <n v="48990"/>
    <n v="0.86839254931274878"/>
    <n v="0.02"/>
    <n v="2.005943536404161E-2"/>
    <n v="0.1111111111111111"/>
    <n v="8165"/>
    <n v="9.7401188707280841"/>
    <n v="485.56296296296301"/>
    <n v="4370.0666666666666"/>
    <n v="22769.599999999999"/>
    <x v="0"/>
    <x v="2"/>
    <x v="4"/>
    <b v="1"/>
  </r>
  <r>
    <n v="114"/>
    <d v="2021-02-11T00:00:00"/>
    <x v="3"/>
    <x v="1"/>
    <n v="127823"/>
    <n v="1254537"/>
    <n v="51422.5"/>
    <n v="7198"/>
    <n v="144"/>
    <n v="14"/>
    <n v="41986"/>
    <n v="-0.1835091642763382"/>
    <n v="5.7375748981496758E-3"/>
    <n v="2.0005557099194219E-2"/>
    <n v="9.7222222222222224E-2"/>
    <n v="2999"/>
    <n v="7.1439983328702414"/>
    <n v="357.10069444444451"/>
    <n v="3673.0357142857142"/>
    <n v="-9436.5"/>
    <x v="0"/>
    <x v="2"/>
    <x v="5"/>
    <b v="1"/>
  </r>
  <r>
    <n v="115"/>
    <d v="2021-02-11T00:00:00"/>
    <x v="3"/>
    <x v="2"/>
    <n v="10934"/>
    <n v="1210466"/>
    <n v="197161"/>
    <n v="13506"/>
    <n v="474"/>
    <n v="95"/>
    <n v="831820"/>
    <n v="3.2189885423587832"/>
    <n v="1.1157686378634339E-2"/>
    <n v="3.5095513105286538E-2"/>
    <n v="0.20042194092827001"/>
    <n v="8756"/>
    <n v="14.598030504960761"/>
    <n v="415.95147679324901"/>
    <n v="2075.378947368421"/>
    <n v="634659"/>
    <x v="0"/>
    <x v="3"/>
    <x v="6"/>
    <b v="1"/>
  </r>
  <r>
    <n v="120"/>
    <d v="2021-02-11T00:00:00"/>
    <x v="3"/>
    <x v="2"/>
    <n v="374754"/>
    <n v="900400"/>
    <n v="128751"/>
    <n v="9004"/>
    <n v="227"/>
    <n v="29"/>
    <n v="143869"/>
    <n v="0.1174204472198274"/>
    <n v="0.01"/>
    <n v="2.5211017325633051E-2"/>
    <n v="0.1277533039647577"/>
    <n v="4961"/>
    <n v="14.29931141714793"/>
    <n v="567.18502202643174"/>
    <n v="4439.6896551724139"/>
    <n v="15118"/>
    <x v="0"/>
    <x v="1"/>
    <x v="6"/>
    <b v="1"/>
  </r>
  <r>
    <n v="121"/>
    <d v="2021-02-11T00:00:00"/>
    <x v="3"/>
    <x v="3"/>
    <n v="39889"/>
    <n v="5125187"/>
    <n v="193124"/>
    <n v="12602"/>
    <n v="482"/>
    <n v="57"/>
    <n v="226917"/>
    <n v="0.1749808413247447"/>
    <n v="2.4588371116995339E-3"/>
    <n v="3.8247897159181081E-2"/>
    <n v="0.11825726141078841"/>
    <n v="3981"/>
    <n v="15.32486906840184"/>
    <n v="400.67219917012449"/>
    <n v="3388.1403508771932"/>
    <n v="33793"/>
    <x v="0"/>
    <x v="4"/>
    <x v="7"/>
    <b v="1"/>
  </r>
  <r>
    <n v="124"/>
    <d v="2021-02-12T00:00:00"/>
    <x v="4"/>
    <x v="1"/>
    <n v="89459845"/>
    <n v="161493"/>
    <n v="59745.3"/>
    <n v="3602"/>
    <n v="72"/>
    <n v="14"/>
    <n v="122710"/>
    <n v="1.0538854102331059"/>
    <n v="2.230437232573548E-2"/>
    <n v="1.998889505830094E-2"/>
    <n v="0.19444444444444439"/>
    <n v="8765"/>
    <n v="16.586701832315381"/>
    <n v="829.79583333333335"/>
    <n v="4267.5214285714292"/>
    <n v="62964.7"/>
    <x v="0"/>
    <x v="2"/>
    <x v="4"/>
    <b v="1"/>
  </r>
  <r>
    <n v="125"/>
    <d v="2021-02-12T00:00:00"/>
    <x v="4"/>
    <x v="1"/>
    <n v="127823"/>
    <n v="1502383"/>
    <n v="86733.1"/>
    <n v="9605"/>
    <n v="192"/>
    <n v="19"/>
    <n v="56639"/>
    <n v="-0.34697364673924952"/>
    <n v="6.3931767066054404E-3"/>
    <n v="1.9989588755856321E-2"/>
    <n v="9.8958333333333329E-2"/>
    <n v="2981"/>
    <n v="9.0299947943779291"/>
    <n v="451.73489583333338"/>
    <n v="4564.9000000000005"/>
    <n v="-30094.100000000009"/>
    <x v="0"/>
    <x v="2"/>
    <x v="5"/>
    <b v="1"/>
  </r>
  <r>
    <n v="126"/>
    <d v="2021-02-12T00:00:00"/>
    <x v="4"/>
    <x v="2"/>
    <n v="10934"/>
    <n v="1299708"/>
    <n v="121652"/>
    <n v="17994"/>
    <n v="378"/>
    <n v="61"/>
    <n v="486841"/>
    <n v="3.0019152993785552"/>
    <n v="1.3844648182514839E-2"/>
    <n v="2.1007002334111371E-2"/>
    <n v="0.16137566137566139"/>
    <n v="7981"/>
    <n v="6.7606980104479284"/>
    <n v="321.83068783068791"/>
    <n v="1994.295081967213"/>
    <n v="365189"/>
    <x v="0"/>
    <x v="3"/>
    <x v="6"/>
    <b v="1"/>
  </r>
  <r>
    <n v="131"/>
    <d v="2021-02-12T00:00:00"/>
    <x v="4"/>
    <x v="2"/>
    <n v="374754"/>
    <n v="1200300"/>
    <n v="308572"/>
    <n v="12003"/>
    <n v="412"/>
    <n v="79"/>
    <n v="393499"/>
    <n v="0.27522587921133479"/>
    <n v="0.01"/>
    <n v="3.4324752145297011E-2"/>
    <n v="0.19174757281553401"/>
    <n v="4981"/>
    <n v="25.70790635674415"/>
    <n v="748.96116504854365"/>
    <n v="3905.9746835443038"/>
    <n v="84927"/>
    <x v="0"/>
    <x v="1"/>
    <x v="6"/>
    <b v="1"/>
  </r>
  <r>
    <n v="132"/>
    <d v="2021-02-12T00:00:00"/>
    <x v="4"/>
    <x v="3"/>
    <n v="39889"/>
    <n v="10819771"/>
    <n v="145201"/>
    <n v="16808"/>
    <n v="336"/>
    <n v="49"/>
    <n v="195069"/>
    <n v="0.3434411608735477"/>
    <n v="1.55345247140628E-3"/>
    <n v="1.9990480723465019E-2"/>
    <n v="0.14583333333333329"/>
    <n v="3981"/>
    <n v="8.6388029509757267"/>
    <n v="432.14583333333331"/>
    <n v="2963.2857142857142"/>
    <n v="49868"/>
    <x v="0"/>
    <x v="4"/>
    <x v="7"/>
    <b v="1"/>
  </r>
  <r>
    <n v="157"/>
    <d v="2021-02-15T00:00:00"/>
    <x v="0"/>
    <x v="1"/>
    <n v="89459845"/>
    <n v="315350"/>
    <n v="82930.7"/>
    <n v="6307"/>
    <n v="126"/>
    <n v="19"/>
    <n v="138073"/>
    <n v="0.66492022857638977"/>
    <n v="0.02"/>
    <n v="1.9977802441731411E-2"/>
    <n v="0.15079365079365081"/>
    <n v="7267"/>
    <n v="13.148993182178531"/>
    <n v="658.18015873015872"/>
    <n v="4364.773684210526"/>
    <n v="55142.3"/>
    <x v="0"/>
    <x v="2"/>
    <x v="4"/>
    <b v="1"/>
  </r>
  <r>
    <n v="158"/>
    <d v="2021-02-15T00:00:00"/>
    <x v="0"/>
    <x v="1"/>
    <n v="127823"/>
    <n v="3359600"/>
    <n v="124854"/>
    <n v="16798"/>
    <n v="336"/>
    <n v="31"/>
    <n v="92411"/>
    <n v="-0.25984750188219841"/>
    <n v="5.0000000000000001E-3"/>
    <n v="2.000238123586141E-2"/>
    <n v="9.2261904761904767E-2"/>
    <n v="2981"/>
    <n v="7.4326705560185733"/>
    <n v="371.58928571428572"/>
    <n v="4027.5483870967741"/>
    <n v="-32443"/>
    <x v="0"/>
    <x v="2"/>
    <x v="5"/>
    <b v="1"/>
  </r>
  <r>
    <n v="159"/>
    <d v="2021-02-15T00:00:00"/>
    <x v="0"/>
    <x v="2"/>
    <n v="10934"/>
    <n v="2478877"/>
    <n v="151480"/>
    <n v="31504"/>
    <n v="630"/>
    <n v="98"/>
    <n v="782138"/>
    <n v="4.163308687615527"/>
    <n v="1.270898071989857E-2"/>
    <n v="1.9997460639918741E-2"/>
    <n v="0.15555555555555561"/>
    <n v="7981"/>
    <n v="4.8082783138649061"/>
    <n v="240.44444444444451"/>
    <n v="1545.714285714286"/>
    <n v="630658"/>
    <x v="0"/>
    <x v="3"/>
    <x v="6"/>
    <b v="1"/>
  </r>
  <r>
    <n v="164"/>
    <d v="2021-02-15T00:00:00"/>
    <x v="0"/>
    <x v="2"/>
    <n v="374754"/>
    <n v="2100700"/>
    <n v="82452"/>
    <n v="21007"/>
    <n v="122"/>
    <n v="24"/>
    <n v="103392"/>
    <n v="0.25396594382186"/>
    <n v="0.01"/>
    <n v="5.8075879468748506E-3"/>
    <n v="0.1967213114754098"/>
    <n v="4308"/>
    <n v="3.9249773884895509"/>
    <n v="675.8360655737705"/>
    <n v="3435.5"/>
    <n v="20940"/>
    <x v="0"/>
    <x v="1"/>
    <x v="6"/>
    <b v="1"/>
  </r>
  <r>
    <n v="165"/>
    <d v="2021-02-15T00:00:00"/>
    <x v="0"/>
    <x v="3"/>
    <n v="39889"/>
    <n v="8747458"/>
    <n v="543275"/>
    <n v="29390"/>
    <n v="1061"/>
    <n v="171"/>
    <n v="809685"/>
    <n v="0.49037780129768532"/>
    <n v="3.3598332224058689E-3"/>
    <n v="3.6100714528751278E-2"/>
    <n v="0.16116870876531569"/>
    <n v="4735"/>
    <n v="18.485028921401842"/>
    <n v="512.04052780395853"/>
    <n v="3177.0467836257312"/>
    <n v="266410"/>
    <x v="0"/>
    <x v="4"/>
    <x v="7"/>
    <b v="1"/>
  </r>
  <r>
    <n v="168"/>
    <d v="2021-02-16T00:00:00"/>
    <x v="1"/>
    <x v="1"/>
    <n v="89459845"/>
    <n v="373184"/>
    <n v="102053"/>
    <n v="7198"/>
    <n v="144"/>
    <n v="22"/>
    <n v="185482"/>
    <n v="0.81750658971318824"/>
    <n v="1.928807237180586E-2"/>
    <n v="2.0005557099194219E-2"/>
    <n v="0.15277777777777779"/>
    <n v="8431"/>
    <n v="14.177966101694921"/>
    <n v="708.70138888888891"/>
    <n v="4638.772727272727"/>
    <n v="83429"/>
    <x v="0"/>
    <x v="2"/>
    <x v="4"/>
    <b v="1"/>
  </r>
  <r>
    <n v="169"/>
    <d v="2021-02-16T00:00:00"/>
    <x v="1"/>
    <x v="1"/>
    <n v="127823"/>
    <n v="3841400"/>
    <n v="271906"/>
    <n v="19207"/>
    <n v="666"/>
    <n v="67"/>
    <n v="199727"/>
    <n v="-0.26545570895824289"/>
    <n v="5.0000000000000001E-3"/>
    <n v="3.4674858124642063E-2"/>
    <n v="0.1006006006006006"/>
    <n v="2981"/>
    <n v="14.156609569427809"/>
    <n v="408.26726726726719"/>
    <n v="4058.2985074626872"/>
    <n v="-72179"/>
    <x v="0"/>
    <x v="2"/>
    <x v="5"/>
    <b v="1"/>
  </r>
  <r>
    <n v="170"/>
    <d v="2021-02-16T00:00:00"/>
    <x v="1"/>
    <x v="2"/>
    <n v="10934"/>
    <n v="4371118"/>
    <n v="221258"/>
    <n v="35999"/>
    <n v="720"/>
    <n v="128"/>
    <n v="1021570"/>
    <n v="3.6170985907854178"/>
    <n v="8.2356504674547786E-3"/>
    <n v="2.0000555570988079E-2"/>
    <n v="0.17777777777777781"/>
    <n v="7981.015625"/>
    <n v="6.1462262840634461"/>
    <n v="307.30277777777781"/>
    <n v="1728.578125"/>
    <n v="800312"/>
    <x v="0"/>
    <x v="3"/>
    <x v="6"/>
    <b v="1"/>
  </r>
  <r>
    <n v="175"/>
    <d v="2021-02-16T00:00:00"/>
    <x v="1"/>
    <x v="2"/>
    <n v="374754"/>
    <n v="3937010"/>
    <n v="620903"/>
    <n v="23994"/>
    <n v="833"/>
    <n v="160"/>
    <n v="939360"/>
    <n v="0.51289331827998896"/>
    <n v="6.0944727089847373E-3"/>
    <n v="3.4717012586479953E-2"/>
    <n v="0.1920768307322929"/>
    <n v="5871"/>
    <n v="25.8774276902559"/>
    <n v="745.38175270108047"/>
    <n v="3880.6437500000002"/>
    <n v="318457"/>
    <x v="0"/>
    <x v="1"/>
    <x v="6"/>
    <b v="1"/>
  </r>
  <r>
    <n v="176"/>
    <d v="2021-02-16T00:00:00"/>
    <x v="1"/>
    <x v="3"/>
    <n v="39889"/>
    <n v="56876855"/>
    <n v="206424"/>
    <n v="33592"/>
    <n v="416"/>
    <n v="62"/>
    <n v="246822"/>
    <n v="0.19570398790838281"/>
    <n v="5.9060930847881798E-4"/>
    <n v="1.238390092879257E-2"/>
    <n v="0.14903846153846151"/>
    <n v="3981"/>
    <n v="6.1450345320314357"/>
    <n v="496.21153846153851"/>
    <n v="3329.4193548387102"/>
    <n v="40398"/>
    <x v="0"/>
    <x v="4"/>
    <x v="7"/>
    <b v="1"/>
  </r>
  <r>
    <n v="179"/>
    <d v="2021-02-17T00:00:00"/>
    <x v="2"/>
    <x v="1"/>
    <n v="89459845"/>
    <n v="490058"/>
    <n v="116213"/>
    <n v="8104"/>
    <n v="162"/>
    <n v="31"/>
    <n v="227726"/>
    <n v="0.95955702029893386"/>
    <n v="1.653681809091985E-2"/>
    <n v="1.9990128331688051E-2"/>
    <n v="0.19135802469135799"/>
    <n v="7346"/>
    <n v="14.340202369200391"/>
    <n v="717.3641975308642"/>
    <n v="3748.8064516129029"/>
    <n v="111513"/>
    <x v="0"/>
    <x v="2"/>
    <x v="4"/>
    <b v="1"/>
  </r>
  <r>
    <n v="180"/>
    <d v="2021-02-17T00:00:00"/>
    <x v="2"/>
    <x v="1"/>
    <n v="127823"/>
    <n v="4319200"/>
    <n v="180223"/>
    <n v="21596"/>
    <n v="442"/>
    <n v="44"/>
    <n v="136708"/>
    <n v="-0.24145086920093439"/>
    <n v="5.0000000000000001E-3"/>
    <n v="2.046675310242637E-2"/>
    <n v="9.9547511312217188E-2"/>
    <n v="3107"/>
    <n v="8.3452028153361741"/>
    <n v="407.74434389140271"/>
    <n v="4095.977272727273"/>
    <n v="-43515"/>
    <x v="0"/>
    <x v="2"/>
    <x v="5"/>
    <b v="1"/>
  </r>
  <r>
    <n v="181"/>
    <d v="2021-02-17T00:00:00"/>
    <x v="2"/>
    <x v="2"/>
    <n v="10934"/>
    <n v="4049400"/>
    <n v="363811"/>
    <n v="40494"/>
    <n v="746"/>
    <n v="149"/>
    <n v="1189170"/>
    <n v="2.268647731926742"/>
    <n v="0.01"/>
    <n v="1.8422482343063169E-2"/>
    <n v="0.19973190348525471"/>
    <n v="7981.0067114093963"/>
    <n v="8.9843186644935056"/>
    <n v="487.6823056300268"/>
    <n v="2441.6845637583888"/>
    <n v="825359"/>
    <x v="0"/>
    <x v="3"/>
    <x v="6"/>
    <b v="1"/>
  </r>
  <r>
    <n v="186"/>
    <d v="2021-02-17T00:00:00"/>
    <x v="2"/>
    <x v="2"/>
    <n v="374754"/>
    <n v="2795511"/>
    <n v="462606"/>
    <n v="26990"/>
    <n v="795"/>
    <n v="119"/>
    <n v="592739"/>
    <n v="0.28130417677245861"/>
    <n v="9.6547643704496238E-3"/>
    <n v="2.945535383475361E-2"/>
    <n v="0.14968553459119499"/>
    <n v="4981"/>
    <n v="17.139903668025191"/>
    <n v="581.8943396226415"/>
    <n v="3887.4453781512611"/>
    <n v="130133"/>
    <x v="0"/>
    <x v="1"/>
    <x v="6"/>
    <b v="1"/>
  </r>
  <r>
    <n v="187"/>
    <d v="2021-02-17T00:00:00"/>
    <x v="2"/>
    <x v="3"/>
    <n v="39889"/>
    <n v="16553044"/>
    <n v="523398"/>
    <n v="37805"/>
    <n v="756"/>
    <n v="142"/>
    <n v="565302"/>
    <n v="8.0061444636777362E-2"/>
    <n v="2.2838699637359751E-3"/>
    <n v="1.9997354847242431E-2"/>
    <n v="0.18783068783068779"/>
    <n v="3981"/>
    <n v="13.844676630075391"/>
    <n v="692.32539682539687"/>
    <n v="3685.9014084507039"/>
    <n v="41904"/>
    <x v="0"/>
    <x v="4"/>
    <x v="7"/>
    <b v="1"/>
  </r>
  <r>
    <n v="190"/>
    <d v="2021-02-18T00:00:00"/>
    <x v="3"/>
    <x v="1"/>
    <n v="89459845"/>
    <n v="527210"/>
    <n v="119542"/>
    <n v="9004"/>
    <n v="162"/>
    <n v="28"/>
    <n v="214368"/>
    <n v="0.7932442154221947"/>
    <n v="1.7078583486656172E-2"/>
    <n v="1.799200355397601E-2"/>
    <n v="0.1728395061728395"/>
    <n v="7656"/>
    <n v="13.27654375832963"/>
    <n v="737.91358024691363"/>
    <n v="4269.3571428571431"/>
    <n v="94826"/>
    <x v="0"/>
    <x v="2"/>
    <x v="4"/>
    <b v="1"/>
  </r>
  <r>
    <n v="191"/>
    <d v="2021-02-18T00:00:00"/>
    <x v="3"/>
    <x v="1"/>
    <n v="127823"/>
    <n v="10593685"/>
    <n v="200986"/>
    <n v="24005"/>
    <n v="480"/>
    <n v="43"/>
    <n v="93353"/>
    <n v="-0.53552486242822883"/>
    <n v="2.265972605377638E-3"/>
    <n v="1.9995834201208079E-2"/>
    <n v="8.9583333333333334E-2"/>
    <n v="2171"/>
    <n v="8.3726723599250157"/>
    <n v="418.72083333333342"/>
    <n v="4674.0930232558139"/>
    <n v="-107633"/>
    <x v="0"/>
    <x v="2"/>
    <x v="5"/>
    <b v="1"/>
  </r>
  <r>
    <n v="192"/>
    <d v="2021-02-18T00:00:00"/>
    <x v="3"/>
    <x v="2"/>
    <n v="10934"/>
    <n v="4064081"/>
    <n v="86522.9"/>
    <n v="45004"/>
    <n v="144"/>
    <n v="31"/>
    <n v="256897"/>
    <n v="1.9691214695762631"/>
    <n v="1.1073598188618781E-2"/>
    <n v="3.199715580837259E-3"/>
    <n v="0.21527777777777779"/>
    <n v="8287"/>
    <n v="1.922560216869611"/>
    <n v="600.85347222222219"/>
    <n v="2791.061290322581"/>
    <n v="170374.1"/>
    <x v="0"/>
    <x v="3"/>
    <x v="6"/>
    <b v="1"/>
  </r>
  <r>
    <n v="197"/>
    <d v="2021-02-18T00:00:00"/>
    <x v="3"/>
    <x v="2"/>
    <n v="374754"/>
    <n v="2482796"/>
    <n v="518530"/>
    <n v="30000"/>
    <n v="1032"/>
    <n v="134"/>
    <n v="796630"/>
    <n v="0.53632383854357513"/>
    <n v="1.2083151414775921E-2"/>
    <n v="3.44E-2"/>
    <n v="0.12984496124031009"/>
    <n v="5945"/>
    <n v="17.284333333333329"/>
    <n v="502.45155038759691"/>
    <n v="3869.626865671642"/>
    <n v="278100"/>
    <x v="0"/>
    <x v="1"/>
    <x v="6"/>
    <b v="1"/>
  </r>
  <r>
    <n v="198"/>
    <d v="2021-02-18T00:00:00"/>
    <x v="3"/>
    <x v="3"/>
    <n v="39889"/>
    <n v="419970000"/>
    <n v="339735"/>
    <n v="41997"/>
    <n v="840"/>
    <n v="114"/>
    <n v="516420"/>
    <n v="0.52006711113073423"/>
    <n v="1E-4"/>
    <n v="2.0001428673476679E-2"/>
    <n v="0.1357142857142857"/>
    <n v="4530"/>
    <n v="8.0895063933138083"/>
    <n v="404.44642857142861"/>
    <n v="2980.1315789473679"/>
    <n v="176685"/>
    <x v="0"/>
    <x v="4"/>
    <x v="7"/>
    <b v="1"/>
  </r>
  <r>
    <n v="201"/>
    <d v="2021-02-19T00:00:00"/>
    <x v="4"/>
    <x v="1"/>
    <n v="89459845"/>
    <n v="413291"/>
    <n v="9777.5499999999993"/>
    <n v="9904"/>
    <n v="14"/>
    <n v="2"/>
    <n v="15962"/>
    <n v="0.6325153029133066"/>
    <n v="2.3963744673849659E-2"/>
    <n v="1.41357027463651E-3"/>
    <n v="0.14285714285714279"/>
    <n v="7981"/>
    <n v="0.98723243134087235"/>
    <n v="698.39642857142849"/>
    <n v="4888.7749999999996"/>
    <n v="6184.4500000000007"/>
    <x v="0"/>
    <x v="2"/>
    <x v="4"/>
    <b v="1"/>
  </r>
  <r>
    <n v="202"/>
    <d v="2021-02-19T00:00:00"/>
    <x v="4"/>
    <x v="1"/>
    <n v="127823"/>
    <n v="8455475"/>
    <n v="81623.5"/>
    <n v="26406"/>
    <n v="281"/>
    <n v="20"/>
    <n v="72300"/>
    <n v="-0.1142256825546564"/>
    <n v="3.122946966314725E-3"/>
    <n v="1.064152086646974E-2"/>
    <n v="7.1174377224199295E-2"/>
    <n v="3615"/>
    <n v="3.0910967204423239"/>
    <n v="290.47508896797149"/>
    <n v="4081.1750000000002"/>
    <n v="-9323.5"/>
    <x v="0"/>
    <x v="2"/>
    <x v="5"/>
    <b v="1"/>
  </r>
  <r>
    <n v="203"/>
    <d v="2021-02-19T00:00:00"/>
    <x v="4"/>
    <x v="2"/>
    <n v="10934"/>
    <n v="3801165"/>
    <n v="880357"/>
    <n v="49510"/>
    <n v="1666"/>
    <n v="369"/>
    <n v="2812520"/>
    <n v="2.1947494027990921"/>
    <n v="1.302495419167545E-2"/>
    <n v="3.3649767723692187E-2"/>
    <n v="0.22148859543817531"/>
    <n v="7622.0054200542008"/>
    <n v="17.781397697434858"/>
    <n v="528.42557022809126"/>
    <n v="2385.791327913279"/>
    <n v="1932163"/>
    <x v="0"/>
    <x v="3"/>
    <x v="6"/>
    <b v="1"/>
  </r>
  <r>
    <n v="208"/>
    <d v="2021-02-19T00:00:00"/>
    <x v="4"/>
    <x v="2"/>
    <n v="374754"/>
    <n v="3299900"/>
    <n v="404285"/>
    <n v="32999"/>
    <n v="694"/>
    <n v="104"/>
    <n v="519272"/>
    <n v="0.28442064385272758"/>
    <n v="0.01"/>
    <n v="2.1030940331525201E-2"/>
    <n v="0.14985590778097979"/>
    <n v="4993"/>
    <n v="12.251431861571559"/>
    <n v="582.54322766570601"/>
    <n v="3887.3557692307691"/>
    <n v="114987"/>
    <x v="0"/>
    <x v="1"/>
    <x v="6"/>
    <b v="1"/>
  </r>
  <r>
    <n v="209"/>
    <d v="2021-02-19T00:00:00"/>
    <x v="4"/>
    <x v="3"/>
    <n v="39889"/>
    <n v="19065489"/>
    <n v="492126"/>
    <n v="46209"/>
    <n v="924"/>
    <n v="139"/>
    <n v="556417"/>
    <n v="0.13063930781954211"/>
    <n v="2.4236986525758659E-3"/>
    <n v="1.9996104654937352E-2"/>
    <n v="0.15043290043290039"/>
    <n v="4003"/>
    <n v="10.650003246120891"/>
    <n v="532.60389610389609"/>
    <n v="3540.4748201438852"/>
    <n v="64291"/>
    <x v="0"/>
    <x v="4"/>
    <x v="7"/>
    <b v="1"/>
  </r>
  <r>
    <n v="234"/>
    <d v="2021-02-22T00:00:00"/>
    <x v="0"/>
    <x v="1"/>
    <n v="89459845"/>
    <n v="90500"/>
    <n v="30645.4"/>
    <n v="1810"/>
    <n v="65"/>
    <n v="7"/>
    <n v="59045"/>
    <n v="0.92671657083934289"/>
    <n v="0.02"/>
    <n v="3.591160220994475E-2"/>
    <n v="0.1076923076923077"/>
    <n v="8435"/>
    <n v="16.931160220994471"/>
    <n v="471.46769230769229"/>
    <n v="4377.9142857142861"/>
    <n v="28399.599999999999"/>
    <x v="0"/>
    <x v="2"/>
    <x v="4"/>
    <b v="1"/>
  </r>
  <r>
    <n v="235"/>
    <d v="2021-02-22T00:00:00"/>
    <x v="0"/>
    <x v="1"/>
    <n v="127823"/>
    <n v="959600"/>
    <n v="12348.3"/>
    <n v="4798"/>
    <n v="39"/>
    <n v="4"/>
    <n v="11924"/>
    <n v="-3.4361005158604768E-2"/>
    <n v="5.0000000000000001E-3"/>
    <n v="8.1283868278449346E-3"/>
    <n v="0.1025641025641026"/>
    <n v="2981"/>
    <n v="2.5736348478532718"/>
    <n v="316.62307692307689"/>
    <n v="3087.0749999999998"/>
    <n v="-424.29999999999927"/>
    <x v="0"/>
    <x v="2"/>
    <x v="5"/>
    <b v="1"/>
  </r>
  <r>
    <n v="236"/>
    <d v="2021-02-22T00:00:00"/>
    <x v="0"/>
    <x v="2"/>
    <n v="10934"/>
    <n v="757387"/>
    <n v="77803.8"/>
    <n v="8997"/>
    <n v="180"/>
    <n v="42"/>
    <n v="359394"/>
    <n v="3.6192345361023501"/>
    <n v="1.187899977158309E-2"/>
    <n v="2.0006668889629872E-2"/>
    <n v="0.23333333333333331"/>
    <n v="8557"/>
    <n v="8.6477492497499178"/>
    <n v="432.24333333333328"/>
    <n v="1852.471428571429"/>
    <n v="281590.2"/>
    <x v="0"/>
    <x v="3"/>
    <x v="6"/>
    <b v="1"/>
  </r>
  <r>
    <n v="241"/>
    <d v="2021-02-22T00:00:00"/>
    <x v="0"/>
    <x v="2"/>
    <n v="374754"/>
    <n v="599700"/>
    <n v="137382"/>
    <n v="5997"/>
    <n v="236"/>
    <n v="35"/>
    <n v="158340"/>
    <n v="0.15255273616630999"/>
    <n v="0.01"/>
    <n v="3.9353009838252462E-2"/>
    <n v="0.14830508474576271"/>
    <n v="4524"/>
    <n v="22.908454227113559"/>
    <n v="582.12711864406776"/>
    <n v="3925.2"/>
    <n v="20958"/>
    <x v="0"/>
    <x v="1"/>
    <x v="6"/>
    <b v="1"/>
  </r>
  <r>
    <n v="242"/>
    <d v="2021-02-22T00:00:00"/>
    <x v="0"/>
    <x v="3"/>
    <n v="39889"/>
    <n v="105873774"/>
    <n v="60021.599999999999"/>
    <n v="8409"/>
    <n v="168"/>
    <n v="20"/>
    <n v="80600"/>
    <n v="0.34284990736668142"/>
    <n v="7.9424768592833953E-5"/>
    <n v="1.9978594363182309E-2"/>
    <n v="0.119047619047619"/>
    <n v="4030"/>
    <n v="7.1377809489832318"/>
    <n v="357.27142857142849"/>
    <n v="3001.08"/>
    <n v="20578.400000000001"/>
    <x v="0"/>
    <x v="4"/>
    <x v="7"/>
    <b v="1"/>
  </r>
  <r>
    <n v="245"/>
    <d v="2021-02-23T00:00:00"/>
    <x v="1"/>
    <x v="1"/>
    <n v="89459845"/>
    <n v="22175"/>
    <n v="5409.21"/>
    <n v="442"/>
    <n v="9"/>
    <n v="2"/>
    <n v="15050"/>
    <n v="1.7822916839982179"/>
    <n v="1.9932356257046219E-2"/>
    <n v="2.0361990950226241E-2"/>
    <n v="0.22222222222222221"/>
    <n v="7525"/>
    <n v="12.238031674208139"/>
    <n v="601.02333333333331"/>
    <n v="2704.605"/>
    <n v="9640.7900000000009"/>
    <x v="0"/>
    <x v="2"/>
    <x v="4"/>
    <b v="1"/>
  </r>
  <r>
    <n v="246"/>
    <d v="2021-02-23T00:00:00"/>
    <x v="1"/>
    <x v="1"/>
    <n v="127823"/>
    <n v="241000"/>
    <n v="12581.6"/>
    <n v="1205"/>
    <n v="24"/>
    <n v="3"/>
    <n v="8943"/>
    <n v="-0.2892001017358683"/>
    <n v="5.0000000000000001E-3"/>
    <n v="1.9917012448132779E-2"/>
    <n v="0.125"/>
    <n v="2981"/>
    <n v="10.441161825726139"/>
    <n v="524.23333333333335"/>
    <n v="4193.8666666666668"/>
    <n v="-3638.6"/>
    <x v="0"/>
    <x v="2"/>
    <x v="5"/>
    <b v="1"/>
  </r>
  <r>
    <n v="247"/>
    <d v="2021-02-23T00:00:00"/>
    <x v="1"/>
    <x v="2"/>
    <n v="10934"/>
    <n v="297609"/>
    <n v="16343"/>
    <n v="2246"/>
    <n v="45"/>
    <n v="8"/>
    <n v="63848"/>
    <n v="2.9067490668787861"/>
    <n v="7.5468147804669894E-3"/>
    <n v="2.003561887800534E-2"/>
    <n v="0.17777777777777781"/>
    <n v="7981"/>
    <n v="7.2764915405164734"/>
    <n v="363.17777777777781"/>
    <n v="2042.875"/>
    <n v="47505"/>
    <x v="0"/>
    <x v="3"/>
    <x v="6"/>
    <b v="1"/>
  </r>
  <r>
    <n v="252"/>
    <d v="2021-02-23T00:00:00"/>
    <x v="1"/>
    <x v="2"/>
    <n v="374754"/>
    <n v="117218"/>
    <n v="15435"/>
    <n v="1500"/>
    <n v="31"/>
    <n v="4"/>
    <n v="17816"/>
    <n v="0.15425979915775831"/>
    <n v="1.27966694534969E-2"/>
    <n v="2.066666666666667E-2"/>
    <n v="0.1290322580645161"/>
    <n v="4454"/>
    <n v="10.29"/>
    <n v="497.90322580645159"/>
    <n v="3858.75"/>
    <n v="2381"/>
    <x v="0"/>
    <x v="1"/>
    <x v="6"/>
    <b v="1"/>
  </r>
  <r>
    <n v="253"/>
    <d v="2021-02-23T00:00:00"/>
    <x v="1"/>
    <x v="3"/>
    <n v="39889"/>
    <n v="654544"/>
    <n v="16706.400000000001"/>
    <n v="2099"/>
    <n v="42"/>
    <n v="6"/>
    <n v="23886"/>
    <n v="0.42975147248958467"/>
    <n v="3.2068126818059601E-3"/>
    <n v="2.0009528346831829E-2"/>
    <n v="0.14285714285714279"/>
    <n v="3981"/>
    <n v="7.9592186755597911"/>
    <n v="397.7714285714286"/>
    <n v="2784.4"/>
    <n v="7179.5999999999995"/>
    <x v="0"/>
    <x v="4"/>
    <x v="7"/>
    <b v="1"/>
  </r>
  <r>
    <n v="256"/>
    <d v="2021-02-24T00:00:00"/>
    <x v="2"/>
    <x v="1"/>
    <n v="89459845"/>
    <n v="45150"/>
    <n v="14306.2"/>
    <n v="903"/>
    <n v="18"/>
    <n v="3"/>
    <n v="23943"/>
    <n v="0.67361004319805395"/>
    <n v="0.02"/>
    <n v="1.993355481727575E-2"/>
    <n v="0.16666666666666671"/>
    <n v="7981"/>
    <n v="15.842967884828351"/>
    <n v="794.78888888888889"/>
    <n v="4768.7333333333336"/>
    <n v="9636.7999999999993"/>
    <x v="0"/>
    <x v="2"/>
    <x v="4"/>
    <b v="1"/>
  </r>
  <r>
    <n v="257"/>
    <d v="2021-02-24T00:00:00"/>
    <x v="2"/>
    <x v="1"/>
    <n v="127823"/>
    <n v="291441"/>
    <n v="22357.599999999999"/>
    <n v="2408"/>
    <n v="52"/>
    <n v="5"/>
    <n v="19060"/>
    <n v="-0.14749346978208749"/>
    <n v="8.262392731290381E-3"/>
    <n v="2.1594684385382059E-2"/>
    <n v="9.6153846153846159E-2"/>
    <n v="3812"/>
    <n v="9.2847176079734215"/>
    <n v="429.95384615384609"/>
    <n v="4471.5200000000004"/>
    <n v="-3297.599999999999"/>
    <x v="0"/>
    <x v="2"/>
    <x v="5"/>
    <b v="1"/>
  </r>
  <r>
    <n v="258"/>
    <d v="2021-02-24T00:00:00"/>
    <x v="2"/>
    <x v="2"/>
    <n v="10934"/>
    <n v="409320"/>
    <n v="22944.3"/>
    <n v="4508"/>
    <n v="65"/>
    <n v="14"/>
    <n v="111734"/>
    <n v="3.869793369159225"/>
    <n v="1.1013388058242941E-2"/>
    <n v="1.441881100266194E-2"/>
    <n v="0.2153846153846154"/>
    <n v="7981"/>
    <n v="5.0896850044365571"/>
    <n v="352.98923076923069"/>
    <n v="1638.8785714285709"/>
    <n v="88789.7"/>
    <x v="0"/>
    <x v="3"/>
    <x v="6"/>
    <b v="1"/>
  </r>
  <r>
    <n v="263"/>
    <d v="2021-02-24T00:00:00"/>
    <x v="2"/>
    <x v="2"/>
    <n v="374754"/>
    <n v="355802"/>
    <n v="42311.5"/>
    <n v="2990"/>
    <n v="60"/>
    <n v="9"/>
    <n v="44829"/>
    <n v="5.9499190527397987E-2"/>
    <n v="8.4035502892057939E-3"/>
    <n v="2.006688963210702E-2"/>
    <n v="0.15"/>
    <n v="4981"/>
    <n v="14.151003344481611"/>
    <n v="705.19166666666672"/>
    <n v="4701.2777777777774"/>
    <n v="2517.5"/>
    <x v="0"/>
    <x v="1"/>
    <x v="6"/>
    <b v="1"/>
  </r>
  <r>
    <n v="264"/>
    <d v="2021-02-24T00:00:00"/>
    <x v="2"/>
    <x v="3"/>
    <n v="39889"/>
    <n v="2770687"/>
    <n v="34169.9"/>
    <n v="4205"/>
    <n v="84"/>
    <n v="16"/>
    <n v="63696"/>
    <n v="0.86409676352579312"/>
    <n v="1.517674136414543E-3"/>
    <n v="1.9976218787158141E-2"/>
    <n v="0.19047619047619049"/>
    <n v="3981"/>
    <n v="8.1260166468489903"/>
    <n v="406.78452380952382"/>
    <n v="2135.6187500000001"/>
    <n v="29526.1"/>
    <x v="0"/>
    <x v="4"/>
    <x v="7"/>
    <b v="1"/>
  </r>
  <r>
    <n v="267"/>
    <d v="2021-02-25T00:00:00"/>
    <x v="3"/>
    <x v="1"/>
    <n v="89459845"/>
    <n v="8750"/>
    <n v="1078.73"/>
    <n v="175"/>
    <n v="1"/>
    <n v="0"/>
    <n v="0"/>
    <n v="0"/>
    <n v="0.02"/>
    <n v="5.7142857142857143E-3"/>
    <n v="0"/>
    <n v="0"/>
    <n v="6.1641714285714286"/>
    <n v="1078.73"/>
    <n v="0"/>
    <n v="0"/>
    <x v="0"/>
    <x v="2"/>
    <x v="4"/>
    <b v="1"/>
  </r>
  <r>
    <n v="268"/>
    <d v="2021-02-25T00:00:00"/>
    <x v="3"/>
    <x v="1"/>
    <n v="127823"/>
    <n v="61867"/>
    <n v="9472.2199999999993"/>
    <n v="487"/>
    <n v="19"/>
    <n v="2"/>
    <n v="5730"/>
    <n v="-0.39507317186467372"/>
    <n v="7.8717248290688085E-3"/>
    <n v="3.9014373716632453E-2"/>
    <n v="0.10526315789473679"/>
    <n v="2865"/>
    <n v="19.450143737166322"/>
    <n v="498.53789473684208"/>
    <n v="4736.1099999999997"/>
    <n v="-3742.2199999999989"/>
    <x v="0"/>
    <x v="2"/>
    <x v="5"/>
    <b v="1"/>
  </r>
  <r>
    <n v="269"/>
    <d v="2021-02-25T00:00:00"/>
    <x v="3"/>
    <x v="2"/>
    <n v="10934"/>
    <n v="94976"/>
    <n v="9034.91"/>
    <n v="904"/>
    <n v="22"/>
    <n v="5"/>
    <n v="38030"/>
    <n v="3.2092284261824409"/>
    <n v="9.5181940700808619E-3"/>
    <n v="2.4336283185840711E-2"/>
    <n v="0.22727272727272729"/>
    <n v="7606"/>
    <n v="9.9943694690265481"/>
    <n v="410.67772727272728"/>
    <n v="1806.982"/>
    <n v="28995.09"/>
    <x v="0"/>
    <x v="3"/>
    <x v="6"/>
    <b v="1"/>
  </r>
  <r>
    <n v="274"/>
    <d v="2021-02-25T00:00:00"/>
    <x v="3"/>
    <x v="2"/>
    <n v="374754"/>
    <n v="46753"/>
    <n v="6227.53"/>
    <n v="591"/>
    <n v="12"/>
    <n v="2"/>
    <n v="10130"/>
    <n v="0.62664812534022318"/>
    <n v="1.26409000491947E-2"/>
    <n v="2.030456852791878E-2"/>
    <n v="0.16666666666666671"/>
    <n v="5065"/>
    <n v="10.537275803722499"/>
    <n v="518.96083333333331"/>
    <n v="3113.7649999999999"/>
    <n v="3902.47"/>
    <x v="0"/>
    <x v="1"/>
    <x v="6"/>
    <b v="1"/>
  </r>
  <r>
    <n v="275"/>
    <d v="2021-02-25T00:00:00"/>
    <x v="3"/>
    <x v="3"/>
    <n v="39889"/>
    <n v="2885291"/>
    <n v="7583.66"/>
    <n v="848"/>
    <n v="17"/>
    <n v="3"/>
    <n v="11943"/>
    <n v="0.57483325992990197"/>
    <n v="2.9390449698141359E-4"/>
    <n v="2.004716981132075E-2"/>
    <n v="0.1764705882352941"/>
    <n v="3981"/>
    <n v="8.9429952830188686"/>
    <n v="446.0976470588235"/>
    <n v="2527.8866666666672"/>
    <n v="4359.34"/>
    <x v="0"/>
    <x v="4"/>
    <x v="7"/>
    <b v="1"/>
  </r>
  <r>
    <n v="278"/>
    <d v="2021-02-26T00:00:00"/>
    <x v="4"/>
    <x v="1"/>
    <n v="89459845"/>
    <n v="22450"/>
    <n v="1545.74"/>
    <n v="449"/>
    <n v="2"/>
    <n v="0"/>
    <n v="0"/>
    <n v="0"/>
    <n v="0.02"/>
    <n v="4.4543429844097994E-3"/>
    <n v="0"/>
    <n v="0"/>
    <n v="3.4426280623608019"/>
    <n v="772.87"/>
    <n v="0"/>
    <n v="0"/>
    <x v="0"/>
    <x v="2"/>
    <x v="4"/>
    <b v="1"/>
  </r>
  <r>
    <n v="279"/>
    <d v="2021-02-26T00:00:00"/>
    <x v="4"/>
    <x v="1"/>
    <n v="127823"/>
    <n v="240600"/>
    <n v="4453.1000000000004"/>
    <n v="1203"/>
    <n v="11"/>
    <n v="1"/>
    <n v="2283"/>
    <n v="-0.48732343760526381"/>
    <n v="5.0000000000000001E-3"/>
    <n v="9.14380714879468E-3"/>
    <n v="9.0909090909090912E-2"/>
    <n v="2283"/>
    <n v="3.7016625103906899"/>
    <n v="404.82727272727283"/>
    <n v="4453.1000000000004"/>
    <n v="-2170.1"/>
    <x v="0"/>
    <x v="2"/>
    <x v="5"/>
    <b v="1"/>
  </r>
  <r>
    <n v="280"/>
    <d v="2021-02-26T00:00:00"/>
    <x v="4"/>
    <x v="2"/>
    <n v="10934"/>
    <n v="195016"/>
    <n v="38804.199999999997"/>
    <n v="2247"/>
    <n v="82"/>
    <n v="16"/>
    <n v="127696"/>
    <n v="2.2907778024028329"/>
    <n v="1.152213151741396E-2"/>
    <n v="3.6493101913662659E-2"/>
    <n v="0.1951219512195122"/>
    <n v="7981"/>
    <n v="17.269336893635959"/>
    <n v="473.22195121951222"/>
    <n v="2425.2624999999998"/>
    <n v="88891.8"/>
    <x v="0"/>
    <x v="3"/>
    <x v="6"/>
    <b v="1"/>
  </r>
  <r>
    <n v="285"/>
    <d v="2021-02-26T00:00:00"/>
    <x v="4"/>
    <x v="2"/>
    <n v="374754"/>
    <n v="192489"/>
    <n v="15596"/>
    <n v="1497"/>
    <n v="34"/>
    <n v="5"/>
    <n v="25205"/>
    <n v="0.61611951782508334"/>
    <n v="7.777067780496548E-3"/>
    <n v="2.2712090848363391E-2"/>
    <n v="0.1470588235294118"/>
    <n v="5041"/>
    <n v="10.41816967267869"/>
    <n v="458.70588235294122"/>
    <n v="3119.2"/>
    <n v="9609"/>
    <x v="0"/>
    <x v="1"/>
    <x v="6"/>
    <b v="1"/>
  </r>
  <r>
    <n v="286"/>
    <d v="2021-02-26T00:00:00"/>
    <x v="4"/>
    <x v="3"/>
    <n v="39889"/>
    <n v="20930000"/>
    <n v="8087.73"/>
    <n v="2093"/>
    <n v="22"/>
    <n v="3"/>
    <n v="12213"/>
    <n v="0.51006524698524813"/>
    <n v="1E-4"/>
    <n v="1.051122790253225E-2"/>
    <n v="0.13636363636363641"/>
    <n v="4071"/>
    <n v="3.8641806020066891"/>
    <n v="367.62409090909091"/>
    <n v="2695.91"/>
    <n v="4125.2700000000004"/>
    <x v="0"/>
    <x v="4"/>
    <x v="7"/>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9E5BF-09F1-476B-AE64-981EF0892AF7}"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6">
    <pivotField numFmtId="3" showAll="0"/>
    <pivotField numFmtId="14"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Fields count="1">
    <field x="3"/>
  </rowFields>
  <rowItems count="5">
    <i>
      <x/>
    </i>
    <i>
      <x v="3"/>
    </i>
    <i>
      <x v="1"/>
    </i>
    <i>
      <x v="2"/>
    </i>
    <i t="grand">
      <x/>
    </i>
  </rowItems>
  <colItems count="1">
    <i/>
  </colItems>
  <dataFields count="1">
    <dataField name="Sum of revenue" fld="10" baseField="0" baseItem="0" numFmtId="168"/>
  </dataFields>
  <formats count="2">
    <format dxfId="44">
      <pivotArea outline="0" collapsedLevelsAreSubtotals="1" fieldPosition="0"/>
    </format>
    <format dxfId="43">
      <pivotArea dataOnly="0" labelOnly="1" outline="0" axis="axisValues"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5DBE17-CA42-48B5-AE42-06F9EDC1E66E}"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4:A65" firstHeaderRow="1" firstDataRow="1" firstDataCol="0"/>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ataField="1" dragToRow="0" dragToCol="0" dragToPage="0" showAll="0" defaultSubtotal="0"/>
    <pivotField dragToRow="0" dragToCol="0" dragToPage="0" showAll="0" defaultSubtotal="0"/>
  </pivotFields>
  <rowItems count="1">
    <i/>
  </rowItems>
  <colItems count="1">
    <i/>
  </colItems>
  <dataFields count="1">
    <dataField name="Sum of ROMI" fld="24" baseField="0" baseItem="0" numFmtId="2"/>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3B95C3-A875-46A9-B380-BE4CF9575FD4}"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5:B58" firstHeaderRow="1" firstDataRow="1" firstDataCol="1"/>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axis="axisRow" showAll="0">
      <items count="3">
        <item x="0"/>
        <item x="1"/>
        <item t="default"/>
      </items>
    </pivotField>
    <pivotField showAll="0">
      <items count="6">
        <item x="4"/>
        <item x="0"/>
        <item x="2"/>
        <item x="1"/>
        <item x="3"/>
        <item t="default"/>
      </items>
    </pivotField>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Fields count="1">
    <field x="20"/>
  </rowFields>
  <rowItems count="3">
    <i>
      <x/>
    </i>
    <i>
      <x v="1"/>
    </i>
    <i t="grand">
      <x/>
    </i>
  </rowItems>
  <colItems count="1">
    <i/>
  </colItems>
  <dataFields count="1">
    <dataField name="Sum of revenue" fld="10" baseField="0" baseItem="0" numFmtId="168"/>
  </dataFields>
  <formats count="2">
    <format dxfId="41">
      <pivotArea outline="0" collapsedLevelsAreSubtotals="1" fieldPosition="0"/>
    </format>
    <format dxfId="4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0"/>
          </reference>
        </references>
      </pivotArea>
    </chartFormat>
    <chartFormat chart="2" format="4">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11058B-4577-4DDD-BA5D-68DC0FEFD720}"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4:F65" firstHeaderRow="1" firstDataRow="1" firstDataCol="0"/>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Items count="1">
    <i/>
  </rowItems>
  <colItems count="1">
    <i/>
  </colItems>
  <dataFields count="1">
    <dataField name="Sum of revenue" fld="10" baseField="0" baseItem="0" numFmtId="168"/>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B5D8FF-3738-48F8-A044-0C6E920E1D47}"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0:C71" firstHeaderRow="1" firstDataRow="1" firstDataCol="0"/>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dataField="1" numFmtId="3" showAll="0"/>
    <pivotField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Items count="1">
    <i/>
  </rowItems>
  <colItems count="1">
    <i/>
  </colItems>
  <dataFields count="1">
    <dataField name="Sum of orders"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F158C1-A56F-4F16-B94A-6A2C1846E335}"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49" firstHeaderRow="1" firstDataRow="1" firstDataCol="1"/>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axis="axisRow" showAll="0" sortType="descending">
      <items count="9">
        <item x="6"/>
        <item x="4"/>
        <item x="3"/>
        <item x="7"/>
        <item x="2"/>
        <item x="0"/>
        <item x="1"/>
        <item x="5"/>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 dragToRow="0" dragToCol="0" dragToPage="0" showAll="0" defaultSubtotal="0"/>
  </pivotFields>
  <rowFields count="1">
    <field x="22"/>
  </rowFields>
  <rowItems count="9">
    <i>
      <x/>
    </i>
    <i>
      <x v="5"/>
    </i>
    <i>
      <x v="3"/>
    </i>
    <i>
      <x v="6"/>
    </i>
    <i>
      <x v="1"/>
    </i>
    <i>
      <x v="7"/>
    </i>
    <i>
      <x v="4"/>
    </i>
    <i>
      <x v="2"/>
    </i>
    <i t="grand">
      <x/>
    </i>
  </rowItems>
  <colItems count="1">
    <i/>
  </colItems>
  <dataFields count="1">
    <dataField name="Sum of revenue" fld="10" baseField="0" baseItem="0" numFmtId="168"/>
  </dataFields>
  <formats count="2">
    <format dxfId="38">
      <pivotArea outline="0" collapsedLevelsAreSubtotals="1" fieldPosition="0"/>
    </format>
    <format dxfId="37">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177067-2A58-40B2-AC48-96E269AEB14A}"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4:C65" firstHeaderRow="1" firstDataRow="1" firstDataCol="0"/>
  <pivotFields count="26">
    <pivotField numFmtId="3" showAll="0"/>
    <pivotField numFmtId="14" showAll="0"/>
    <pivotField showAll="0"/>
    <pivotField showAll="0"/>
    <pivotField numFmtId="3" showAll="0"/>
    <pivotField numFmtId="3" showAll="0"/>
    <pivotField dataField="1" numFmtId="44" showAll="0"/>
    <pivotField numFmtId="3" showAll="0"/>
    <pivotField numFmtId="3" showAll="0"/>
    <pivotField numFmtId="3" showAll="0"/>
    <pivotField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Items count="1">
    <i/>
  </rowItems>
  <colItems count="1">
    <i/>
  </colItems>
  <dataFields count="1">
    <dataField name="Sum of mark_spent" fld="6" baseField="0" baseItem="0" numFmtId="168"/>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FAFD26-2355-4E17-AB95-CA00D54A92DD}"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7:B33" firstHeaderRow="1" firstDataRow="1" firstDataCol="1"/>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axis="axisRow" showAll="0" sortType="descending">
      <items count="6">
        <item x="4"/>
        <item x="0"/>
        <item x="2"/>
        <item x="1"/>
        <item x="3"/>
        <item t="default"/>
      </items>
      <autoSortScope>
        <pivotArea dataOnly="0" outline="0" fieldPosition="0">
          <references count="1">
            <reference field="4294967294" count="1" selected="0">
              <x v="0"/>
            </reference>
          </references>
        </pivotArea>
      </autoSortScope>
    </pivotField>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Fields count="1">
    <field x="21"/>
  </rowFields>
  <rowItems count="6">
    <i>
      <x v="4"/>
    </i>
    <i>
      <x v="3"/>
    </i>
    <i>
      <x v="1"/>
    </i>
    <i>
      <x/>
    </i>
    <i>
      <x v="2"/>
    </i>
    <i t="grand">
      <x/>
    </i>
  </rowItems>
  <colItems count="1">
    <i/>
  </colItems>
  <dataFields count="1">
    <dataField name="Sum of revenue" fld="10" baseField="0" baseItem="0" numFmtId="168"/>
  </dataFields>
  <formats count="2">
    <format dxfId="35">
      <pivotArea outline="0" collapsedLevelsAreSubtotals="1" fieldPosition="0"/>
    </format>
    <format dxfId="34">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2A2EAC7-5F6E-4A27-A348-2A9D86B0FD15}"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B21" firstHeaderRow="1" firstDataRow="1" firstDataCol="1"/>
  <pivotFields count="26">
    <pivotField numFmtId="3" showAll="0"/>
    <pivotField numFmtId="14" showAll="0"/>
    <pivotField axis="axisRow"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showAll="0">
      <items count="5">
        <item x="2"/>
        <item x="3"/>
        <item x="1"/>
        <item x="0"/>
        <item t="default"/>
      </items>
    </pivotField>
    <pivotField numFmtId="3" showAll="0"/>
    <pivotField numFmtId="3" showAll="0"/>
    <pivotField numFmtId="44" showAll="0"/>
    <pivotField numFmtId="3" showAll="0"/>
    <pivotField numFmtId="3" showAll="0"/>
    <pivotField numFmtId="3" showAll="0"/>
    <pivotField dataField="1"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items count="3">
        <item x="0"/>
        <item x="1"/>
        <item t="default"/>
      </items>
    </pivotField>
    <pivotField showAll="0"/>
    <pivotField showAll="0">
      <items count="9">
        <item x="6"/>
        <item x="4"/>
        <item x="3"/>
        <item x="7"/>
        <item x="2"/>
        <item x="0"/>
        <item x="1"/>
        <item x="5"/>
        <item t="default"/>
      </items>
    </pivotField>
    <pivotField showAll="0"/>
    <pivotField dragToRow="0" dragToCol="0" dragToPage="0" showAll="0" defaultSubtotal="0"/>
    <pivotField dragToRow="0" dragToCol="0" dragToPage="0" showAll="0" defaultSubtotal="0"/>
  </pivotFields>
  <rowFields count="1">
    <field x="2"/>
  </rowFields>
  <rowItems count="8">
    <i>
      <x v="5"/>
    </i>
    <i>
      <x v="6"/>
    </i>
    <i>
      <x v="3"/>
    </i>
    <i>
      <x v="4"/>
    </i>
    <i>
      <x v="2"/>
    </i>
    <i>
      <x v="1"/>
    </i>
    <i>
      <x/>
    </i>
    <i t="grand">
      <x/>
    </i>
  </rowItems>
  <colItems count="1">
    <i/>
  </colItems>
  <dataFields count="1">
    <dataField name="Sum of revenue" fld="10" baseField="0" baseItem="0" numFmtId="168"/>
  </dataFields>
  <formats count="2">
    <format dxfId="32">
      <pivotArea outline="0" collapsedLevelsAreSubtotals="1" fieldPosition="0"/>
    </format>
    <format dxfId="31">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A833DA-FCE1-4D91-8D79-8A37B001DE99}"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0:A71" firstHeaderRow="1" firstDataRow="1" firstDataCol="0"/>
  <pivotFields count="26">
    <pivotField numFmtId="3" showAll="0"/>
    <pivotField numFmtId="14" showAll="0"/>
    <pivotField showAll="0"/>
    <pivotField showAll="0"/>
    <pivotField numFmtId="3" showAll="0"/>
    <pivotField numFmtId="3" showAll="0"/>
    <pivotField numFmtId="44" showAll="0"/>
    <pivotField numFmtId="3" showAll="0"/>
    <pivotField numFmtId="3" showAll="0"/>
    <pivotField numFmtId="3" showAll="0"/>
    <pivotField numFmtId="44" showAll="0"/>
    <pivotField numFmtId="2" showAll="0"/>
    <pivotField numFmtId="10" showAll="0"/>
    <pivotField numFmtId="10" showAll="0"/>
    <pivotField numFmtId="10" showAll="0"/>
    <pivotField numFmtId="4" showAll="0"/>
    <pivotField numFmtId="4" showAll="0"/>
    <pivotField numFmtId="4" showAll="0"/>
    <pivotField numFmtId="4" showAll="0"/>
    <pivotField numFmtId="44" showAll="0"/>
    <pivotField showAll="0"/>
    <pivotField showAll="0"/>
    <pivotField showAll="0">
      <items count="9">
        <item x="6"/>
        <item x="4"/>
        <item x="3"/>
        <item x="7"/>
        <item x="2"/>
        <item x="0"/>
        <item x="1"/>
        <item x="5"/>
        <item t="default"/>
      </items>
    </pivotField>
    <pivotField showAll="0"/>
    <pivotField dragToRow="0" dragToCol="0" dragToPage="0" showAll="0" defaultSubtotal="0"/>
    <pivotField dataField="1" dragToRow="0" dragToCol="0" dragToPage="0" showAll="0" defaultSubtotal="0"/>
  </pivotFields>
  <rowItems count="1">
    <i/>
  </rowItems>
  <colItems count="1">
    <i/>
  </colItems>
  <dataFields count="1">
    <dataField name="Sum of Field1" fld="25" baseField="0" baseItem="0" numFmtId="167"/>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D97D5F8-9E28-45F3-8B0E-E651EEB9F0A0}" sourceName="category">
  <pivotTables>
    <pivotTable tabId="8" name="PivotTable2"/>
  </pivotTables>
  <data>
    <tabular pivotCacheId="53557893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0C0C8371-99E2-4C39-A566-CBC8F41CA830}" sourceName="Days">
  <pivotTables>
    <pivotTable tabId="8" name="PivotTable2"/>
  </pivotTables>
  <data>
    <tabular pivotCacheId="53557893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r" xr10:uid="{1D6D728F-1BC7-4846-BB96-BF8FD1692C3F}" sourceName="Tier">
  <pivotTables>
    <pivotTable tabId="8" name="PivotTable2"/>
    <pivotTable tabId="8" name="PivotTable1"/>
    <pivotTable tabId="8" name="PivotTable10"/>
    <pivotTable tabId="8" name="PivotTable3"/>
    <pivotTable tabId="8" name="PivotTable4"/>
    <pivotTable tabId="8" name="PivotTable5"/>
    <pivotTable tabId="8" name="PivotTable6"/>
    <pivotTable tabId="8" name="PivotTable7"/>
    <pivotTable tabId="8" name="PivotTable8"/>
    <pivotTable tabId="8" name="PivotTable9"/>
  </pivotTables>
  <data>
    <tabular pivotCacheId="535578937">
      <items count="8">
        <i x="6" s="1"/>
        <i x="4" s="1"/>
        <i x="3" s="1"/>
        <i x="7" s="1"/>
        <i x="2" s="1"/>
        <i x="0" s="1"/>
        <i x="1"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E46F7942-5A24-4EFC-9004-17FCE6CF70A9}" sourceName="campaign_name">
  <pivotTables>
    <pivotTable tabId="8" name="PivotTable5"/>
  </pivotTables>
  <data>
    <tabular pivotCacheId="535578937">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D57F2009-DF31-41D3-96F5-1C6C958947FE}" cache="Slicer_category" caption="category" columnCount="2" style="SlicerStyleDark2" rowHeight="234950"/>
  <slicer name="Days 1" xr10:uid="{FFDC64C9-3B54-4979-8297-B1A27A480FEC}" cache="Slicer_Days" caption="Days" columnCount="2" style="SlicerStyleDark2" rowHeight="234950"/>
  <slicer name="Tier 1" xr10:uid="{96AD7BFA-73C3-4AE6-8389-0B396A56B2CA}" cache="Slicer_Tier" caption="Tier" columnCount="2" style="SlicerStyleDark2" rowHeight="234950"/>
  <slicer name="campaign_name" xr10:uid="{510A88D5-5281-453E-ACC1-0AA1A35821CC}" cache="Slicer_campaign_name" caption="campaign_name"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292DE5-231E-4F9D-B7D8-B75ED6A46454}" name="Table1" displayName="Table1" ref="A1:X309" totalsRowShown="0">
  <autoFilter ref="A1:X309" xr:uid="{2B292DE5-231E-4F9D-B7D8-B75ED6A46454}"/>
  <tableColumns count="24">
    <tableColumn id="1" xr3:uid="{BFCC8BB2-7AD0-494E-892F-D5920C50ADDB}" name="id" dataDxfId="68"/>
    <tableColumn id="2" xr3:uid="{9CA27619-8E7C-4878-8789-3A884EDD28F8}" name="c_date" dataDxfId="67"/>
    <tableColumn id="3" xr3:uid="{9A4104D9-51DA-485C-BCA2-08D3E374ECB8}" name="Weekdays"/>
    <tableColumn id="4" xr3:uid="{E773ACD4-94A0-4789-AB3A-C6590EA05D9F}" name="category"/>
    <tableColumn id="5" xr3:uid="{6B6E7365-1BE0-4199-B28C-CEDA6DB2F460}" name="campaign_id" dataDxfId="66"/>
    <tableColumn id="6" xr3:uid="{57DCC952-C17F-4C92-B9F1-E6AA028E4EF1}" name="impressions" dataDxfId="65"/>
    <tableColumn id="7" xr3:uid="{858C49E4-EB66-4B54-BBC8-1578A55845D0}" name="mark_spent" dataDxfId="50" dataCellStyle="Currency"/>
    <tableColumn id="8" xr3:uid="{5CE114AA-9731-4778-8A34-454FD97E4455}" name="clicks" dataDxfId="64"/>
    <tableColumn id="9" xr3:uid="{597BD2A1-E576-42C9-9265-E01269442DB7}" name="leads" dataDxfId="63"/>
    <tableColumn id="10" xr3:uid="{FBB8F243-13E5-482E-A77F-61EED90B54C1}" name="Orders" dataDxfId="62"/>
    <tableColumn id="11" xr3:uid="{6FA6DA42-2610-4088-8D79-5F4961A50DA7}" name="Revenue" dataDxfId="49" dataCellStyle="Currency"/>
    <tableColumn id="12" xr3:uid="{6FD21744-F706-4C72-BE72-B1774CFE1410}" name="ROMI 1" dataDxfId="61"/>
    <tableColumn id="13" xr3:uid="{9FAAEA98-3979-425E-A436-1C86706D26F9}" name="Click percentage" dataDxfId="60"/>
    <tableColumn id="14" xr3:uid="{9E2C93AC-EB0B-4E15-9FA4-6EB0FED7D5DA}" name="Conversion 1" dataDxfId="59"/>
    <tableColumn id="15" xr3:uid="{E1DE4254-77CB-4429-BEF2-BF4CD8D6FF19}" name="Conversion 2I" dataDxfId="58"/>
    <tableColumn id="16" xr3:uid="{D42BF740-BE67-4913-AD4F-A5E591CF8D3B}" name="AOV1" dataDxfId="57"/>
    <tableColumn id="17" xr3:uid="{8CEB6F82-3F4B-49F8-953B-672C487AC0A9}" name="CPC" dataDxfId="56"/>
    <tableColumn id="18" xr3:uid="{CFC7C720-1FD2-4A0C-ADAC-ABE2516E594B}" name="CPL1" dataDxfId="55"/>
    <tableColumn id="19" xr3:uid="{073487C2-8783-4256-8F55-DB1487B99C16}" name="CAC" dataDxfId="54"/>
    <tableColumn id="20" xr3:uid="{E11B48A6-5785-45D7-8B50-2FB59CD40690}" name="Gross profit" dataDxfId="51" dataCellStyle="Currency"/>
    <tableColumn id="21" xr3:uid="{62F651EA-FA81-46FE-B799-CAC10E12E799}" name="Days"/>
    <tableColumn id="22" xr3:uid="{D5B300DA-2A8A-4067-A043-DE6BD1E752CE}" name="Campaign_name"/>
    <tableColumn id="23" xr3:uid="{E78552BB-894C-432E-80FE-6609A0C2477D}" name="Tier"/>
    <tableColumn id="24" xr3:uid="{E3273E98-84B9-4F3B-820F-5EAFFCF04132}" name="IsValid">
      <calculatedColumnFormula>NOT(AND(G2=0,K2&gt;1000000))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9"/>
  <sheetViews>
    <sheetView topLeftCell="I1" workbookViewId="0">
      <selection activeCell="Y6" sqref="Y6"/>
    </sheetView>
  </sheetViews>
  <sheetFormatPr defaultRowHeight="14.4" x14ac:dyDescent="0.3"/>
  <cols>
    <col min="2" max="2" width="22.5546875" style="11" customWidth="1"/>
    <col min="3" max="3" width="11.5546875" customWidth="1"/>
    <col min="4" max="4" width="10.21875" customWidth="1"/>
    <col min="5" max="5" width="13.6640625" customWidth="1"/>
    <col min="6" max="6" width="12.77734375" customWidth="1"/>
    <col min="7" max="7" width="23.33203125" style="16" customWidth="1"/>
    <col min="11" max="11" width="14.6640625" style="16" customWidth="1"/>
    <col min="12" max="12" width="9.109375" customWidth="1"/>
    <col min="13" max="13" width="16.6640625" customWidth="1"/>
    <col min="14" max="14" width="13.77734375" customWidth="1"/>
    <col min="15" max="15" width="14.33203125" customWidth="1"/>
    <col min="20" max="20" width="22.109375" style="16" customWidth="1"/>
    <col min="22" max="22" width="18.44140625" customWidth="1"/>
  </cols>
  <sheetData>
    <row r="1" spans="1:26" x14ac:dyDescent="0.3">
      <c r="A1" t="s">
        <v>0</v>
      </c>
      <c r="B1" s="11" t="s">
        <v>1</v>
      </c>
      <c r="C1" t="s">
        <v>2</v>
      </c>
      <c r="D1" t="s">
        <v>3</v>
      </c>
      <c r="E1" t="s">
        <v>4</v>
      </c>
      <c r="F1" t="s">
        <v>5</v>
      </c>
      <c r="G1" s="16" t="s">
        <v>6</v>
      </c>
      <c r="H1" t="s">
        <v>7</v>
      </c>
      <c r="I1" t="s">
        <v>8</v>
      </c>
      <c r="J1" t="s">
        <v>78</v>
      </c>
      <c r="K1" s="16" t="s">
        <v>79</v>
      </c>
      <c r="L1" t="s">
        <v>9</v>
      </c>
      <c r="M1" t="s">
        <v>10</v>
      </c>
      <c r="N1" t="s">
        <v>11</v>
      </c>
      <c r="O1" t="s">
        <v>12</v>
      </c>
      <c r="P1" t="s">
        <v>13</v>
      </c>
      <c r="Q1" t="s">
        <v>14</v>
      </c>
      <c r="R1" t="s">
        <v>15</v>
      </c>
      <c r="S1" t="s">
        <v>16</v>
      </c>
      <c r="T1" s="16" t="s">
        <v>17</v>
      </c>
      <c r="U1" t="s">
        <v>18</v>
      </c>
      <c r="V1" t="s">
        <v>80</v>
      </c>
      <c r="W1" t="s">
        <v>19</v>
      </c>
      <c r="X1" s="1" t="s">
        <v>20</v>
      </c>
    </row>
    <row r="2" spans="1:26" x14ac:dyDescent="0.3">
      <c r="A2" s="6">
        <v>1</v>
      </c>
      <c r="B2" s="11">
        <v>44228</v>
      </c>
      <c r="C2" t="s">
        <v>21</v>
      </c>
      <c r="D2" t="s">
        <v>22</v>
      </c>
      <c r="E2" s="6">
        <v>349043</v>
      </c>
      <c r="F2" s="6">
        <v>148263</v>
      </c>
      <c r="G2" s="16">
        <v>7307.37</v>
      </c>
      <c r="H2" s="6">
        <v>1210</v>
      </c>
      <c r="I2" s="6">
        <v>13</v>
      </c>
      <c r="J2" s="6">
        <v>1</v>
      </c>
      <c r="K2" s="16">
        <v>4981</v>
      </c>
      <c r="L2" s="8">
        <v>-0.31835940974659832</v>
      </c>
      <c r="M2" s="9">
        <v>8.1611730505925274E-3</v>
      </c>
      <c r="N2" s="9">
        <v>1.074380165289256E-2</v>
      </c>
      <c r="O2" s="9">
        <v>7.6923076923076927E-2</v>
      </c>
      <c r="P2" s="7">
        <v>4981</v>
      </c>
      <c r="Q2" s="7">
        <v>6.039148760330578</v>
      </c>
      <c r="R2" s="7">
        <v>562.10538461538465</v>
      </c>
      <c r="S2" s="7">
        <v>7307.37</v>
      </c>
      <c r="T2" s="16">
        <v>2326.37</v>
      </c>
      <c r="U2" t="s">
        <v>23</v>
      </c>
      <c r="V2" t="s">
        <v>24</v>
      </c>
      <c r="W2" t="s">
        <v>25</v>
      </c>
      <c r="X2" t="b">
        <f t="shared" ref="X2:X65" si="0">NOT(AND(G2=0,K2&gt;1000000))</f>
        <v>1</v>
      </c>
    </row>
    <row r="3" spans="1:26" x14ac:dyDescent="0.3">
      <c r="A3" s="6">
        <v>2</v>
      </c>
      <c r="B3" s="11">
        <v>44228</v>
      </c>
      <c r="C3" t="s">
        <v>21</v>
      </c>
      <c r="D3" t="s">
        <v>22</v>
      </c>
      <c r="E3" s="6">
        <v>348934</v>
      </c>
      <c r="F3" s="6">
        <v>220688</v>
      </c>
      <c r="G3" s="16">
        <v>16300.2</v>
      </c>
      <c r="H3" s="6">
        <v>1640</v>
      </c>
      <c r="I3" s="6">
        <v>48</v>
      </c>
      <c r="J3" s="6">
        <v>3</v>
      </c>
      <c r="K3" s="16">
        <v>14962</v>
      </c>
      <c r="L3" s="8">
        <v>-8.209715218218186E-2</v>
      </c>
      <c r="M3" s="9">
        <v>7.4313057347930112E-3</v>
      </c>
      <c r="N3" s="9">
        <v>2.9268292682926831E-2</v>
      </c>
      <c r="O3" s="9">
        <v>6.25E-2</v>
      </c>
      <c r="P3" s="7">
        <v>4987.333333333333</v>
      </c>
      <c r="Q3" s="7">
        <v>9.9391463414634149</v>
      </c>
      <c r="R3" s="7">
        <v>339.58749999999998</v>
      </c>
      <c r="S3" s="7">
        <v>5433.4000000000005</v>
      </c>
      <c r="T3" s="16">
        <v>-1338.2</v>
      </c>
      <c r="U3" t="s">
        <v>23</v>
      </c>
      <c r="V3" t="s">
        <v>24</v>
      </c>
      <c r="W3" t="s">
        <v>26</v>
      </c>
      <c r="X3" t="b">
        <f t="shared" si="0"/>
        <v>1</v>
      </c>
    </row>
    <row r="4" spans="1:26" x14ac:dyDescent="0.3">
      <c r="A4" s="6">
        <v>8</v>
      </c>
      <c r="B4" s="11">
        <v>44228</v>
      </c>
      <c r="C4" t="s">
        <v>21</v>
      </c>
      <c r="D4" t="s">
        <v>22</v>
      </c>
      <c r="E4" s="6">
        <v>4387490</v>
      </c>
      <c r="F4" s="6">
        <v>5544</v>
      </c>
      <c r="G4" s="16">
        <v>1293.55</v>
      </c>
      <c r="H4" s="6">
        <v>148</v>
      </c>
      <c r="I4" s="6">
        <v>3</v>
      </c>
      <c r="J4" s="6">
        <v>1</v>
      </c>
      <c r="K4" s="16">
        <v>4981</v>
      </c>
      <c r="L4" s="8">
        <v>2.8506435777511498</v>
      </c>
      <c r="M4" s="9">
        <v>2.6695526695526699E-2</v>
      </c>
      <c r="N4" s="9">
        <v>2.0270270270270271E-2</v>
      </c>
      <c r="O4" s="9">
        <v>0.33333333333333331</v>
      </c>
      <c r="P4" s="7">
        <v>4981</v>
      </c>
      <c r="Q4" s="7">
        <v>8.7402027027027032</v>
      </c>
      <c r="R4" s="7">
        <v>431.18333333333328</v>
      </c>
      <c r="S4" s="7">
        <v>1293.55</v>
      </c>
      <c r="T4" s="16">
        <v>3687.45</v>
      </c>
      <c r="U4" t="s">
        <v>23</v>
      </c>
      <c r="V4" t="s">
        <v>24</v>
      </c>
      <c r="W4" t="s">
        <v>27</v>
      </c>
      <c r="X4" t="b">
        <f t="shared" si="0"/>
        <v>1</v>
      </c>
    </row>
    <row r="5" spans="1:26" x14ac:dyDescent="0.3">
      <c r="A5" s="6">
        <v>9</v>
      </c>
      <c r="B5" s="11">
        <v>44228</v>
      </c>
      <c r="C5" t="s">
        <v>21</v>
      </c>
      <c r="D5" t="s">
        <v>22</v>
      </c>
      <c r="E5" s="6">
        <v>544756</v>
      </c>
      <c r="F5" s="6">
        <v>56916</v>
      </c>
      <c r="G5" s="16">
        <v>16997.8</v>
      </c>
      <c r="H5" s="6">
        <v>596</v>
      </c>
      <c r="I5" s="6">
        <v>14</v>
      </c>
      <c r="J5" s="6">
        <v>2</v>
      </c>
      <c r="K5" s="16">
        <v>4162</v>
      </c>
      <c r="L5" s="8">
        <v>-0.75514478344256319</v>
      </c>
      <c r="M5" s="9">
        <v>1.047157214140136E-2</v>
      </c>
      <c r="N5" s="9">
        <v>2.3489932885906041E-2</v>
      </c>
      <c r="O5" s="9">
        <v>0.14285714285714279</v>
      </c>
      <c r="P5" s="7">
        <v>2081</v>
      </c>
      <c r="Q5" s="7">
        <v>28.51979865771812</v>
      </c>
      <c r="R5" s="7">
        <v>1214.1285714285709</v>
      </c>
      <c r="S5" s="7">
        <v>8498.9</v>
      </c>
      <c r="T5" s="16">
        <v>-12835.8</v>
      </c>
      <c r="U5" t="s">
        <v>23</v>
      </c>
      <c r="V5" t="s">
        <v>24</v>
      </c>
      <c r="W5" t="s">
        <v>28</v>
      </c>
      <c r="X5" t="b">
        <f t="shared" si="0"/>
        <v>1</v>
      </c>
      <c r="Z5" t="s">
        <v>81</v>
      </c>
    </row>
    <row r="6" spans="1:26" x14ac:dyDescent="0.3">
      <c r="A6" s="6">
        <v>12</v>
      </c>
      <c r="B6" s="11">
        <v>44229</v>
      </c>
      <c r="C6" t="s">
        <v>29</v>
      </c>
      <c r="D6" t="s">
        <v>22</v>
      </c>
      <c r="E6" s="6">
        <v>349043</v>
      </c>
      <c r="F6" s="6">
        <v>478200</v>
      </c>
      <c r="G6" s="16">
        <v>18385.3</v>
      </c>
      <c r="H6" s="6">
        <v>2391</v>
      </c>
      <c r="I6" s="6">
        <v>48</v>
      </c>
      <c r="J6" s="6">
        <v>4</v>
      </c>
      <c r="K6" s="16">
        <v>17812</v>
      </c>
      <c r="L6" s="8">
        <v>-3.118252081826238E-2</v>
      </c>
      <c r="M6" s="9">
        <v>5.0000000000000001E-3</v>
      </c>
      <c r="N6" s="9">
        <v>2.0075282308657461E-2</v>
      </c>
      <c r="O6" s="9">
        <v>8.3333333333333329E-2</v>
      </c>
      <c r="P6" s="7">
        <v>4453</v>
      </c>
      <c r="Q6" s="7">
        <v>7.6893768297783351</v>
      </c>
      <c r="R6" s="7">
        <v>383.02708333333328</v>
      </c>
      <c r="S6" s="7">
        <v>4596.3249999999998</v>
      </c>
      <c r="T6" s="16">
        <v>-573.29999999999927</v>
      </c>
      <c r="U6" t="s">
        <v>23</v>
      </c>
      <c r="V6" t="s">
        <v>24</v>
      </c>
      <c r="W6" t="s">
        <v>25</v>
      </c>
      <c r="X6" t="b">
        <f t="shared" si="0"/>
        <v>1</v>
      </c>
    </row>
    <row r="7" spans="1:26" x14ac:dyDescent="0.3">
      <c r="A7" s="6">
        <v>13</v>
      </c>
      <c r="B7" s="11">
        <v>44229</v>
      </c>
      <c r="C7" t="s">
        <v>29</v>
      </c>
      <c r="D7" t="s">
        <v>22</v>
      </c>
      <c r="E7" s="6">
        <v>348934</v>
      </c>
      <c r="F7" s="6">
        <v>957806</v>
      </c>
      <c r="G7" s="16">
        <v>2198.0500000000002</v>
      </c>
      <c r="H7" s="6">
        <v>3294</v>
      </c>
      <c r="I7" s="6">
        <v>10</v>
      </c>
      <c r="J7" s="6">
        <v>0</v>
      </c>
      <c r="K7" s="16">
        <v>0</v>
      </c>
      <c r="L7" s="8">
        <v>0</v>
      </c>
      <c r="M7" s="9">
        <v>3.4391097988527952E-3</v>
      </c>
      <c r="N7" s="9">
        <v>3.0358227079538549E-3</v>
      </c>
      <c r="O7" s="9">
        <v>0</v>
      </c>
      <c r="P7" s="7">
        <v>0</v>
      </c>
      <c r="Q7" s="7">
        <v>0.66728901032179722</v>
      </c>
      <c r="R7" s="7">
        <v>219.80500000000001</v>
      </c>
      <c r="S7" s="7">
        <v>0</v>
      </c>
      <c r="T7" s="16">
        <v>0</v>
      </c>
      <c r="U7" t="s">
        <v>23</v>
      </c>
      <c r="V7" t="s">
        <v>24</v>
      </c>
      <c r="W7" t="s">
        <v>26</v>
      </c>
      <c r="X7" t="b">
        <f t="shared" si="0"/>
        <v>1</v>
      </c>
    </row>
    <row r="8" spans="1:26" x14ac:dyDescent="0.3">
      <c r="A8" s="6">
        <v>19</v>
      </c>
      <c r="B8" s="11">
        <v>44229</v>
      </c>
      <c r="C8" t="s">
        <v>29</v>
      </c>
      <c r="D8" t="s">
        <v>22</v>
      </c>
      <c r="E8" s="6">
        <v>4387490</v>
      </c>
      <c r="F8" s="6">
        <v>10033</v>
      </c>
      <c r="G8" s="16">
        <v>169.75</v>
      </c>
      <c r="H8" s="6">
        <v>301</v>
      </c>
      <c r="I8" s="6">
        <v>0</v>
      </c>
      <c r="J8" s="6">
        <v>0</v>
      </c>
      <c r="K8" s="16">
        <v>0</v>
      </c>
      <c r="L8" s="8">
        <v>0</v>
      </c>
      <c r="M8" s="9">
        <v>3.000099671085418E-2</v>
      </c>
      <c r="N8" s="9">
        <v>0</v>
      </c>
      <c r="O8" s="9">
        <v>0</v>
      </c>
      <c r="P8" s="7">
        <v>0</v>
      </c>
      <c r="Q8" s="7">
        <v>0.56395348837209303</v>
      </c>
      <c r="R8" s="7">
        <v>0</v>
      </c>
      <c r="S8" s="7">
        <v>0</v>
      </c>
      <c r="T8" s="16">
        <v>0</v>
      </c>
      <c r="U8" t="s">
        <v>23</v>
      </c>
      <c r="V8" t="s">
        <v>24</v>
      </c>
      <c r="W8" t="s">
        <v>27</v>
      </c>
      <c r="X8" t="b">
        <f t="shared" si="0"/>
        <v>1</v>
      </c>
    </row>
    <row r="9" spans="1:26" x14ac:dyDescent="0.3">
      <c r="A9" s="6">
        <v>20</v>
      </c>
      <c r="B9" s="11">
        <v>44229</v>
      </c>
      <c r="C9" t="s">
        <v>29</v>
      </c>
      <c r="D9" t="s">
        <v>22</v>
      </c>
      <c r="E9" s="6">
        <v>544756</v>
      </c>
      <c r="F9" s="6">
        <v>107553</v>
      </c>
      <c r="G9" s="16">
        <v>8829.07</v>
      </c>
      <c r="H9" s="6">
        <v>1196</v>
      </c>
      <c r="I9" s="6">
        <v>7</v>
      </c>
      <c r="J9" s="6">
        <v>1</v>
      </c>
      <c r="K9" s="16">
        <v>1129</v>
      </c>
      <c r="L9" s="8">
        <v>-0.87212696240940435</v>
      </c>
      <c r="M9" s="9">
        <v>1.11200989279704E-2</v>
      </c>
      <c r="N9" s="9">
        <v>5.8528428093645481E-3</v>
      </c>
      <c r="O9" s="9">
        <v>0.14285714285714279</v>
      </c>
      <c r="P9" s="7">
        <v>1129</v>
      </c>
      <c r="Q9" s="7">
        <v>7.3821655518394644</v>
      </c>
      <c r="R9" s="7">
        <v>1261.295714285714</v>
      </c>
      <c r="S9" s="7">
        <v>8829.07</v>
      </c>
      <c r="T9" s="16">
        <v>-7700.07</v>
      </c>
      <c r="U9" t="s">
        <v>23</v>
      </c>
      <c r="V9" t="s">
        <v>24</v>
      </c>
      <c r="W9" t="s">
        <v>28</v>
      </c>
      <c r="X9" t="b">
        <f t="shared" si="0"/>
        <v>1</v>
      </c>
    </row>
    <row r="10" spans="1:26" x14ac:dyDescent="0.3">
      <c r="A10" s="6">
        <v>23</v>
      </c>
      <c r="B10" s="11">
        <v>44230</v>
      </c>
      <c r="C10" t="s">
        <v>30</v>
      </c>
      <c r="D10" t="s">
        <v>22</v>
      </c>
      <c r="E10" s="6">
        <v>349043</v>
      </c>
      <c r="F10" s="6">
        <v>2313889</v>
      </c>
      <c r="G10" s="16">
        <v>65284.4</v>
      </c>
      <c r="H10" s="6">
        <v>7197</v>
      </c>
      <c r="I10" s="6">
        <v>115</v>
      </c>
      <c r="J10" s="6">
        <v>13</v>
      </c>
      <c r="K10" s="16">
        <v>72527</v>
      </c>
      <c r="L10" s="8">
        <v>0.1109392136559423</v>
      </c>
      <c r="M10" s="9">
        <v>3.1103479898992562E-3</v>
      </c>
      <c r="N10" s="9">
        <v>1.597888008892594E-2</v>
      </c>
      <c r="O10" s="9">
        <v>0.11304347826086961</v>
      </c>
      <c r="P10" s="7">
        <v>5579</v>
      </c>
      <c r="Q10" s="7">
        <v>9.0710573850215361</v>
      </c>
      <c r="R10" s="7">
        <v>567.69043478260869</v>
      </c>
      <c r="S10" s="7">
        <v>5021.876923076923</v>
      </c>
      <c r="T10" s="16">
        <v>7242.5999999999995</v>
      </c>
      <c r="U10" t="s">
        <v>23</v>
      </c>
      <c r="V10" t="s">
        <v>24</v>
      </c>
      <c r="W10" t="s">
        <v>25</v>
      </c>
      <c r="X10" t="b">
        <f t="shared" si="0"/>
        <v>1</v>
      </c>
    </row>
    <row r="11" spans="1:26" x14ac:dyDescent="0.3">
      <c r="A11" s="6">
        <v>24</v>
      </c>
      <c r="B11" s="11">
        <v>44230</v>
      </c>
      <c r="C11" t="s">
        <v>30</v>
      </c>
      <c r="D11" t="s">
        <v>22</v>
      </c>
      <c r="E11" s="6">
        <v>348934</v>
      </c>
      <c r="F11" s="6">
        <v>1105666</v>
      </c>
      <c r="G11" s="16">
        <v>78958.3</v>
      </c>
      <c r="H11" s="6">
        <v>9898</v>
      </c>
      <c r="I11" s="6">
        <v>226</v>
      </c>
      <c r="J11" s="6">
        <v>12</v>
      </c>
      <c r="K11" s="16">
        <v>59772</v>
      </c>
      <c r="L11" s="8">
        <v>-0.24299282026082131</v>
      </c>
      <c r="M11" s="9">
        <v>8.9520705167745046E-3</v>
      </c>
      <c r="N11" s="9">
        <v>2.2832895534451409E-2</v>
      </c>
      <c r="O11" s="9">
        <v>5.3097345132743362E-2</v>
      </c>
      <c r="P11" s="7">
        <v>4981</v>
      </c>
      <c r="Q11" s="7">
        <v>7.9771974136189128</v>
      </c>
      <c r="R11" s="7">
        <v>349.37300884955761</v>
      </c>
      <c r="S11" s="7">
        <v>6579.8583333333336</v>
      </c>
      <c r="T11" s="16">
        <v>-19186.3</v>
      </c>
      <c r="U11" t="s">
        <v>23</v>
      </c>
      <c r="V11" t="s">
        <v>24</v>
      </c>
      <c r="W11" t="s">
        <v>26</v>
      </c>
      <c r="X11" t="b">
        <f t="shared" si="0"/>
        <v>1</v>
      </c>
    </row>
    <row r="12" spans="1:26" x14ac:dyDescent="0.3">
      <c r="A12" s="6">
        <v>30</v>
      </c>
      <c r="B12" s="11">
        <v>44230</v>
      </c>
      <c r="C12" t="s">
        <v>30</v>
      </c>
      <c r="D12" t="s">
        <v>22</v>
      </c>
      <c r="E12" s="6">
        <v>4387490</v>
      </c>
      <c r="F12" s="6">
        <v>29867</v>
      </c>
      <c r="G12" s="16">
        <v>5039.51</v>
      </c>
      <c r="H12" s="6">
        <v>896</v>
      </c>
      <c r="I12" s="6">
        <v>18</v>
      </c>
      <c r="J12" s="6">
        <v>4</v>
      </c>
      <c r="K12" s="16">
        <v>23560</v>
      </c>
      <c r="L12" s="8">
        <v>3.6750576941012119</v>
      </c>
      <c r="M12" s="9">
        <v>2.9999665182308229E-2</v>
      </c>
      <c r="N12" s="9">
        <v>2.0089285714285719E-2</v>
      </c>
      <c r="O12" s="9">
        <v>0.22222222222222221</v>
      </c>
      <c r="P12" s="7">
        <v>5890</v>
      </c>
      <c r="Q12" s="7">
        <v>5.6244531249999996</v>
      </c>
      <c r="R12" s="7">
        <v>279.97277777777782</v>
      </c>
      <c r="S12" s="7">
        <v>1259.8775000000001</v>
      </c>
      <c r="T12" s="16">
        <v>18520.490000000002</v>
      </c>
      <c r="U12" t="s">
        <v>23</v>
      </c>
      <c r="V12" t="s">
        <v>24</v>
      </c>
      <c r="W12" t="s">
        <v>27</v>
      </c>
      <c r="X12" t="b">
        <f t="shared" si="0"/>
        <v>1</v>
      </c>
    </row>
    <row r="13" spans="1:26" x14ac:dyDescent="0.3">
      <c r="A13" s="6">
        <v>31</v>
      </c>
      <c r="B13" s="11">
        <v>44230</v>
      </c>
      <c r="C13" t="s">
        <v>30</v>
      </c>
      <c r="D13" t="s">
        <v>22</v>
      </c>
      <c r="E13" s="6">
        <v>544756</v>
      </c>
      <c r="F13" s="6">
        <v>295009</v>
      </c>
      <c r="G13" s="16">
        <v>76716.399999999994</v>
      </c>
      <c r="H13" s="6">
        <v>3595</v>
      </c>
      <c r="I13" s="6">
        <v>72</v>
      </c>
      <c r="J13" s="6">
        <v>9</v>
      </c>
      <c r="K13" s="16">
        <v>5607</v>
      </c>
      <c r="L13" s="8">
        <v>-0.92691262885119741</v>
      </c>
      <c r="M13" s="9">
        <v>1.2186068899592889E-2</v>
      </c>
      <c r="N13" s="9">
        <v>2.002781641168289E-2</v>
      </c>
      <c r="O13" s="9">
        <v>0.125</v>
      </c>
      <c r="P13" s="7">
        <v>623</v>
      </c>
      <c r="Q13" s="7">
        <v>21.339749652294849</v>
      </c>
      <c r="R13" s="7">
        <v>1065.505555555555</v>
      </c>
      <c r="S13" s="7">
        <v>8524.0444444444438</v>
      </c>
      <c r="T13" s="16">
        <v>-71109.399999999994</v>
      </c>
      <c r="U13" t="s">
        <v>23</v>
      </c>
      <c r="V13" t="s">
        <v>24</v>
      </c>
      <c r="W13" t="s">
        <v>28</v>
      </c>
      <c r="X13" t="b">
        <f t="shared" si="0"/>
        <v>1</v>
      </c>
    </row>
    <row r="14" spans="1:26" x14ac:dyDescent="0.3">
      <c r="A14" s="6">
        <v>34</v>
      </c>
      <c r="B14" s="11">
        <v>44231</v>
      </c>
      <c r="C14" t="s">
        <v>31</v>
      </c>
      <c r="D14" t="s">
        <v>22</v>
      </c>
      <c r="E14" s="6">
        <v>349043</v>
      </c>
      <c r="F14" s="6">
        <v>2475754</v>
      </c>
      <c r="G14" s="16">
        <v>173914</v>
      </c>
      <c r="H14" s="6">
        <v>9601</v>
      </c>
      <c r="I14" s="6">
        <v>192</v>
      </c>
      <c r="J14" s="6">
        <v>31</v>
      </c>
      <c r="K14" s="16">
        <v>154411</v>
      </c>
      <c r="L14" s="8">
        <v>-0.11214163322101731</v>
      </c>
      <c r="M14" s="9">
        <v>3.8780104970041452E-3</v>
      </c>
      <c r="N14" s="9">
        <v>1.999791688365795E-2</v>
      </c>
      <c r="O14" s="9">
        <v>0.16145833333333329</v>
      </c>
      <c r="P14" s="7">
        <v>4981</v>
      </c>
      <c r="Q14" s="7">
        <v>18.114154775544211</v>
      </c>
      <c r="R14" s="7">
        <v>905.80208333333337</v>
      </c>
      <c r="S14" s="7">
        <v>5610.1290322580644</v>
      </c>
      <c r="T14" s="16">
        <v>-19503</v>
      </c>
      <c r="U14" t="s">
        <v>23</v>
      </c>
      <c r="V14" t="s">
        <v>24</v>
      </c>
      <c r="W14" t="s">
        <v>25</v>
      </c>
      <c r="X14" t="b">
        <f t="shared" si="0"/>
        <v>1</v>
      </c>
    </row>
    <row r="15" spans="1:26" x14ac:dyDescent="0.3">
      <c r="A15" s="6">
        <v>35</v>
      </c>
      <c r="B15" s="11">
        <v>44231</v>
      </c>
      <c r="C15" t="s">
        <v>31</v>
      </c>
      <c r="D15" t="s">
        <v>22</v>
      </c>
      <c r="E15" s="6">
        <v>348934</v>
      </c>
      <c r="F15" s="6">
        <v>4597702</v>
      </c>
      <c r="G15" s="16">
        <v>115389</v>
      </c>
      <c r="H15" s="6">
        <v>13206</v>
      </c>
      <c r="I15" s="6">
        <v>143</v>
      </c>
      <c r="J15" s="6">
        <v>17</v>
      </c>
      <c r="K15" s="16">
        <v>82909</v>
      </c>
      <c r="L15" s="8">
        <v>-0.28148263699312759</v>
      </c>
      <c r="M15" s="9">
        <v>2.8723044686236729E-3</v>
      </c>
      <c r="N15" s="9">
        <v>1.082841132818416E-2</v>
      </c>
      <c r="O15" s="9">
        <v>0.11888111888111889</v>
      </c>
      <c r="P15" s="7">
        <v>4877</v>
      </c>
      <c r="Q15" s="7">
        <v>8.737619263970922</v>
      </c>
      <c r="R15" s="7">
        <v>806.91608391608395</v>
      </c>
      <c r="S15" s="7">
        <v>6787.588235294118</v>
      </c>
      <c r="T15" s="16">
        <v>-32480</v>
      </c>
      <c r="U15" t="s">
        <v>23</v>
      </c>
      <c r="V15" t="s">
        <v>24</v>
      </c>
      <c r="W15" t="s">
        <v>26</v>
      </c>
      <c r="X15" t="b">
        <f t="shared" si="0"/>
        <v>1</v>
      </c>
    </row>
    <row r="16" spans="1:26" x14ac:dyDescent="0.3">
      <c r="A16" s="6">
        <v>41</v>
      </c>
      <c r="B16" s="11">
        <v>44231</v>
      </c>
      <c r="C16" t="s">
        <v>31</v>
      </c>
      <c r="D16" t="s">
        <v>22</v>
      </c>
      <c r="E16" s="6">
        <v>4387490</v>
      </c>
      <c r="F16" s="6">
        <v>43160</v>
      </c>
      <c r="G16" s="16">
        <v>885.75</v>
      </c>
      <c r="H16" s="6">
        <v>1194</v>
      </c>
      <c r="I16" s="6">
        <v>4</v>
      </c>
      <c r="J16" s="6">
        <v>1</v>
      </c>
      <c r="K16" s="16">
        <v>5287</v>
      </c>
      <c r="L16" s="8">
        <v>4.9689528648038381</v>
      </c>
      <c r="M16" s="9">
        <v>2.7664504170528272E-2</v>
      </c>
      <c r="N16" s="9">
        <v>3.350083752093802E-3</v>
      </c>
      <c r="O16" s="9">
        <v>0.25</v>
      </c>
      <c r="P16" s="7">
        <v>5287</v>
      </c>
      <c r="Q16" s="7">
        <v>0.74183417085427139</v>
      </c>
      <c r="R16" s="7">
        <v>221.4375</v>
      </c>
      <c r="S16" s="7">
        <v>885.75</v>
      </c>
      <c r="T16" s="16">
        <v>4401.25</v>
      </c>
      <c r="U16" t="s">
        <v>23</v>
      </c>
      <c r="V16" t="s">
        <v>24</v>
      </c>
      <c r="W16" t="s">
        <v>27</v>
      </c>
      <c r="X16" t="b">
        <f t="shared" si="0"/>
        <v>1</v>
      </c>
    </row>
    <row r="17" spans="1:24" x14ac:dyDescent="0.3">
      <c r="A17" s="6">
        <v>42</v>
      </c>
      <c r="B17" s="11">
        <v>44231</v>
      </c>
      <c r="C17" t="s">
        <v>31</v>
      </c>
      <c r="D17" t="s">
        <v>22</v>
      </c>
      <c r="E17" s="6">
        <v>544756</v>
      </c>
      <c r="F17" s="6">
        <v>432611</v>
      </c>
      <c r="G17" s="16">
        <v>120335</v>
      </c>
      <c r="H17" s="6">
        <v>4807</v>
      </c>
      <c r="I17" s="6">
        <v>71</v>
      </c>
      <c r="J17" s="6">
        <v>13</v>
      </c>
      <c r="K17" s="16">
        <v>6864</v>
      </c>
      <c r="L17" s="8">
        <v>-0.94295923879170651</v>
      </c>
      <c r="M17" s="9">
        <v>1.111159910404497E-2</v>
      </c>
      <c r="N17" s="9">
        <v>1.477012689827335E-2</v>
      </c>
      <c r="O17" s="9">
        <v>0.18309859154929581</v>
      </c>
      <c r="P17" s="7">
        <v>528</v>
      </c>
      <c r="Q17" s="7">
        <v>25.033284793010189</v>
      </c>
      <c r="R17" s="7">
        <v>1694.859154929577</v>
      </c>
      <c r="S17" s="7">
        <v>9256.538461538461</v>
      </c>
      <c r="T17" s="16">
        <v>-113471</v>
      </c>
      <c r="U17" t="s">
        <v>23</v>
      </c>
      <c r="V17" t="s">
        <v>24</v>
      </c>
      <c r="W17" t="s">
        <v>28</v>
      </c>
      <c r="X17" t="b">
        <f t="shared" si="0"/>
        <v>1</v>
      </c>
    </row>
    <row r="18" spans="1:24" x14ac:dyDescent="0.3">
      <c r="A18" s="6">
        <v>45</v>
      </c>
      <c r="B18" s="11">
        <v>44232</v>
      </c>
      <c r="C18" t="s">
        <v>32</v>
      </c>
      <c r="D18" t="s">
        <v>22</v>
      </c>
      <c r="E18" s="6">
        <v>349043</v>
      </c>
      <c r="F18" s="6">
        <v>3462883</v>
      </c>
      <c r="G18" s="16">
        <v>90691.7</v>
      </c>
      <c r="H18" s="6">
        <v>11997</v>
      </c>
      <c r="I18" s="6">
        <v>143</v>
      </c>
      <c r="J18" s="6">
        <v>17</v>
      </c>
      <c r="K18" s="16">
        <v>84677</v>
      </c>
      <c r="L18" s="8">
        <v>-6.6320291713574647E-2</v>
      </c>
      <c r="M18" s="9">
        <v>3.4644543289507621E-3</v>
      </c>
      <c r="N18" s="9">
        <v>1.191964657831125E-2</v>
      </c>
      <c r="O18" s="9">
        <v>0.11888111888111889</v>
      </c>
      <c r="P18" s="7">
        <v>4981</v>
      </c>
      <c r="Q18" s="7">
        <v>7.5595315495540554</v>
      </c>
      <c r="R18" s="7">
        <v>634.20769230769224</v>
      </c>
      <c r="S18" s="7">
        <v>5334.8058823529409</v>
      </c>
      <c r="T18" s="16">
        <v>-6014.6999999999971</v>
      </c>
      <c r="U18" t="s">
        <v>23</v>
      </c>
      <c r="V18" t="s">
        <v>24</v>
      </c>
      <c r="W18" t="s">
        <v>25</v>
      </c>
      <c r="X18" t="b">
        <f t="shared" si="0"/>
        <v>1</v>
      </c>
    </row>
    <row r="19" spans="1:24" x14ac:dyDescent="0.3">
      <c r="A19" s="6">
        <v>46</v>
      </c>
      <c r="B19" s="11">
        <v>44232</v>
      </c>
      <c r="C19" t="s">
        <v>32</v>
      </c>
      <c r="D19" t="s">
        <v>22</v>
      </c>
      <c r="E19" s="6">
        <v>348934</v>
      </c>
      <c r="F19" s="6">
        <v>3299600</v>
      </c>
      <c r="G19" s="16">
        <v>261047</v>
      </c>
      <c r="H19" s="6">
        <v>16498</v>
      </c>
      <c r="I19" s="6">
        <v>330</v>
      </c>
      <c r="J19" s="6">
        <v>42</v>
      </c>
      <c r="K19" s="16">
        <v>209202</v>
      </c>
      <c r="L19" s="8">
        <v>-0.19860408278968919</v>
      </c>
      <c r="M19" s="9">
        <v>5.0000000000000001E-3</v>
      </c>
      <c r="N19" s="9">
        <v>2.000242453630743E-2</v>
      </c>
      <c r="O19" s="9">
        <v>0.12727272727272729</v>
      </c>
      <c r="P19" s="7">
        <v>4981</v>
      </c>
      <c r="Q19" s="7">
        <v>15.822948236149839</v>
      </c>
      <c r="R19" s="7">
        <v>791.0515151515151</v>
      </c>
      <c r="S19" s="7">
        <v>6215.4047619047606</v>
      </c>
      <c r="T19" s="16">
        <v>-51845</v>
      </c>
      <c r="U19" t="s">
        <v>23</v>
      </c>
      <c r="V19" t="s">
        <v>24</v>
      </c>
      <c r="W19" t="s">
        <v>26</v>
      </c>
      <c r="X19" t="b">
        <f t="shared" si="0"/>
        <v>1</v>
      </c>
    </row>
    <row r="20" spans="1:24" x14ac:dyDescent="0.3">
      <c r="A20" s="6">
        <v>52</v>
      </c>
      <c r="B20" s="11">
        <v>44232</v>
      </c>
      <c r="C20" t="s">
        <v>32</v>
      </c>
      <c r="D20" t="s">
        <v>22</v>
      </c>
      <c r="E20" s="6">
        <v>4387490</v>
      </c>
      <c r="F20" s="6">
        <v>48954</v>
      </c>
      <c r="G20" s="16">
        <v>6790.74</v>
      </c>
      <c r="H20" s="6">
        <v>1505</v>
      </c>
      <c r="I20" s="6">
        <v>30</v>
      </c>
      <c r="J20" s="6">
        <v>5</v>
      </c>
      <c r="K20" s="16">
        <v>27060</v>
      </c>
      <c r="L20" s="8">
        <v>2.984838176693557</v>
      </c>
      <c r="M20" s="9">
        <v>3.074314662744617E-2</v>
      </c>
      <c r="N20" s="9">
        <v>1.993355481727575E-2</v>
      </c>
      <c r="O20" s="9">
        <v>0.16666666666666671</v>
      </c>
      <c r="P20" s="7">
        <v>5412</v>
      </c>
      <c r="Q20" s="7">
        <v>4.5121196013289033</v>
      </c>
      <c r="R20" s="7">
        <v>226.358</v>
      </c>
      <c r="S20" s="7">
        <v>1358.1479999999999</v>
      </c>
      <c r="T20" s="16">
        <v>20269.259999999998</v>
      </c>
      <c r="U20" t="s">
        <v>23</v>
      </c>
      <c r="V20" t="s">
        <v>24</v>
      </c>
      <c r="W20" t="s">
        <v>27</v>
      </c>
      <c r="X20" t="b">
        <f t="shared" si="0"/>
        <v>1</v>
      </c>
    </row>
    <row r="21" spans="1:24" x14ac:dyDescent="0.3">
      <c r="A21" s="6">
        <v>53</v>
      </c>
      <c r="B21" s="11">
        <v>44232</v>
      </c>
      <c r="C21" t="s">
        <v>32</v>
      </c>
      <c r="D21" t="s">
        <v>22</v>
      </c>
      <c r="E21" s="6">
        <v>544756</v>
      </c>
      <c r="F21" s="6">
        <v>600400</v>
      </c>
      <c r="G21" s="16">
        <v>192789</v>
      </c>
      <c r="H21" s="6">
        <v>6004</v>
      </c>
      <c r="I21" s="6">
        <v>120</v>
      </c>
      <c r="J21" s="6">
        <v>21</v>
      </c>
      <c r="K21" s="16">
        <v>9492</v>
      </c>
      <c r="L21" s="8">
        <v>-0.95076482579400279</v>
      </c>
      <c r="M21" s="9">
        <v>0.01</v>
      </c>
      <c r="N21" s="9">
        <v>1.9986675549633581E-2</v>
      </c>
      <c r="O21" s="9">
        <v>0.17499999999999999</v>
      </c>
      <c r="P21" s="7">
        <v>452</v>
      </c>
      <c r="Q21" s="7">
        <v>32.110093271152557</v>
      </c>
      <c r="R21" s="7">
        <v>1606.575</v>
      </c>
      <c r="S21" s="7">
        <v>9180.4285714285706</v>
      </c>
      <c r="T21" s="16">
        <v>-183297</v>
      </c>
      <c r="U21" t="s">
        <v>23</v>
      </c>
      <c r="V21" t="s">
        <v>24</v>
      </c>
      <c r="W21" t="s">
        <v>28</v>
      </c>
      <c r="X21" t="b">
        <f t="shared" si="0"/>
        <v>1</v>
      </c>
    </row>
    <row r="22" spans="1:24" x14ac:dyDescent="0.3">
      <c r="A22" s="6">
        <v>78</v>
      </c>
      <c r="B22" s="11">
        <v>44235</v>
      </c>
      <c r="C22" t="s">
        <v>21</v>
      </c>
      <c r="D22" t="s">
        <v>22</v>
      </c>
      <c r="E22" s="6">
        <v>349043</v>
      </c>
      <c r="F22" s="6">
        <v>479000</v>
      </c>
      <c r="G22" s="16">
        <v>27210.400000000001</v>
      </c>
      <c r="H22" s="6">
        <v>2395</v>
      </c>
      <c r="I22" s="6">
        <v>36</v>
      </c>
      <c r="J22" s="6">
        <v>5</v>
      </c>
      <c r="K22" s="16">
        <v>22345</v>
      </c>
      <c r="L22" s="8">
        <v>-0.17880663275806311</v>
      </c>
      <c r="M22" s="9">
        <v>5.0000000000000001E-3</v>
      </c>
      <c r="N22" s="9">
        <v>1.503131524008351E-2</v>
      </c>
      <c r="O22" s="9">
        <v>0.1388888888888889</v>
      </c>
      <c r="P22" s="7">
        <v>4469</v>
      </c>
      <c r="Q22" s="7">
        <v>11.36133611691023</v>
      </c>
      <c r="R22" s="7">
        <v>755.84444444444443</v>
      </c>
      <c r="S22" s="7">
        <v>5442.08</v>
      </c>
      <c r="T22" s="16">
        <v>-4865.4000000000005</v>
      </c>
      <c r="U22" t="s">
        <v>23</v>
      </c>
      <c r="V22" t="s">
        <v>24</v>
      </c>
      <c r="W22" t="s">
        <v>25</v>
      </c>
      <c r="X22" t="b">
        <f t="shared" si="0"/>
        <v>1</v>
      </c>
    </row>
    <row r="23" spans="1:24" x14ac:dyDescent="0.3">
      <c r="A23" s="6">
        <v>79</v>
      </c>
      <c r="B23" s="11">
        <v>44235</v>
      </c>
      <c r="C23" t="s">
        <v>21</v>
      </c>
      <c r="D23" t="s">
        <v>22</v>
      </c>
      <c r="E23" s="6">
        <v>348934</v>
      </c>
      <c r="F23" s="6">
        <v>472656</v>
      </c>
      <c r="G23" s="16">
        <v>33752.800000000003</v>
      </c>
      <c r="H23" s="6">
        <v>3290</v>
      </c>
      <c r="I23" s="6">
        <v>66</v>
      </c>
      <c r="J23" s="6">
        <v>5</v>
      </c>
      <c r="K23" s="16">
        <v>28670</v>
      </c>
      <c r="L23" s="8">
        <v>-0.15058898817283309</v>
      </c>
      <c r="M23" s="9">
        <v>6.9606648386987572E-3</v>
      </c>
      <c r="N23" s="9">
        <v>2.0060790273556232E-2</v>
      </c>
      <c r="O23" s="9">
        <v>7.575757575757576E-2</v>
      </c>
      <c r="P23" s="7">
        <v>5734</v>
      </c>
      <c r="Q23" s="7">
        <v>10.259209726443769</v>
      </c>
      <c r="R23" s="7">
        <v>511.40606060606058</v>
      </c>
      <c r="S23" s="7">
        <v>6750.56</v>
      </c>
      <c r="T23" s="16">
        <v>-5082.8000000000029</v>
      </c>
      <c r="U23" t="s">
        <v>23</v>
      </c>
      <c r="V23" t="s">
        <v>24</v>
      </c>
      <c r="W23" t="s">
        <v>26</v>
      </c>
      <c r="X23" t="b">
        <f t="shared" si="0"/>
        <v>1</v>
      </c>
    </row>
    <row r="24" spans="1:24" x14ac:dyDescent="0.3">
      <c r="A24" s="6">
        <v>85</v>
      </c>
      <c r="B24" s="11">
        <v>44235</v>
      </c>
      <c r="C24" t="s">
        <v>21</v>
      </c>
      <c r="D24" t="s">
        <v>22</v>
      </c>
      <c r="E24" s="6">
        <v>4387490</v>
      </c>
      <c r="F24" s="6">
        <v>10067</v>
      </c>
      <c r="G24" s="16">
        <v>4336.04</v>
      </c>
      <c r="H24" s="6">
        <v>302</v>
      </c>
      <c r="I24" s="6">
        <v>10</v>
      </c>
      <c r="J24" s="6">
        <v>2</v>
      </c>
      <c r="K24" s="16">
        <v>10036</v>
      </c>
      <c r="L24" s="8">
        <v>1.314554293779578</v>
      </c>
      <c r="M24" s="9">
        <v>2.999900665540876E-2</v>
      </c>
      <c r="N24" s="9">
        <v>3.3112582781456963E-2</v>
      </c>
      <c r="O24" s="9">
        <v>0.2</v>
      </c>
      <c r="P24" s="7">
        <v>5018</v>
      </c>
      <c r="Q24" s="7">
        <v>14.35774834437086</v>
      </c>
      <c r="R24" s="7">
        <v>433.60399999999998</v>
      </c>
      <c r="S24" s="7">
        <v>2168.02</v>
      </c>
      <c r="T24" s="16">
        <v>5699.96</v>
      </c>
      <c r="U24" t="s">
        <v>23</v>
      </c>
      <c r="V24" t="s">
        <v>24</v>
      </c>
      <c r="W24" t="s">
        <v>27</v>
      </c>
      <c r="X24" t="b">
        <f t="shared" si="0"/>
        <v>1</v>
      </c>
    </row>
    <row r="25" spans="1:24" x14ac:dyDescent="0.3">
      <c r="A25" s="6">
        <v>86</v>
      </c>
      <c r="B25" s="11">
        <v>44235</v>
      </c>
      <c r="C25" t="s">
        <v>21</v>
      </c>
      <c r="D25" t="s">
        <v>22</v>
      </c>
      <c r="E25" s="6">
        <v>544756</v>
      </c>
      <c r="F25" s="6">
        <v>120200</v>
      </c>
      <c r="G25" s="16">
        <v>40099</v>
      </c>
      <c r="H25" s="6">
        <v>1202</v>
      </c>
      <c r="I25" s="6">
        <v>24</v>
      </c>
      <c r="J25" s="6">
        <v>5</v>
      </c>
      <c r="K25" s="16">
        <v>4905</v>
      </c>
      <c r="L25" s="8">
        <v>-0.87767774757475248</v>
      </c>
      <c r="M25" s="9">
        <v>0.01</v>
      </c>
      <c r="N25" s="9">
        <v>1.996672212978369E-2</v>
      </c>
      <c r="O25" s="9">
        <v>0.20833333333333329</v>
      </c>
      <c r="P25" s="7">
        <v>981</v>
      </c>
      <c r="Q25" s="7">
        <v>33.360232945091511</v>
      </c>
      <c r="R25" s="7">
        <v>1670.791666666667</v>
      </c>
      <c r="S25" s="7">
        <v>8019.8</v>
      </c>
      <c r="T25" s="16">
        <v>-35194</v>
      </c>
      <c r="U25" t="s">
        <v>23</v>
      </c>
      <c r="V25" t="s">
        <v>24</v>
      </c>
      <c r="W25" t="s">
        <v>28</v>
      </c>
      <c r="X25" t="b">
        <f t="shared" si="0"/>
        <v>1</v>
      </c>
    </row>
    <row r="26" spans="1:24" x14ac:dyDescent="0.3">
      <c r="A26" s="6">
        <v>89</v>
      </c>
      <c r="B26" s="11">
        <v>44236</v>
      </c>
      <c r="C26" t="s">
        <v>29</v>
      </c>
      <c r="D26" t="s">
        <v>22</v>
      </c>
      <c r="E26" s="6">
        <v>349043</v>
      </c>
      <c r="F26" s="6">
        <v>478600</v>
      </c>
      <c r="G26" s="16">
        <v>49036.5</v>
      </c>
      <c r="H26" s="6">
        <v>2393</v>
      </c>
      <c r="I26" s="6">
        <v>68</v>
      </c>
      <c r="J26" s="6">
        <v>9</v>
      </c>
      <c r="K26" s="16">
        <v>42813</v>
      </c>
      <c r="L26" s="8">
        <v>-0.1269156648618886</v>
      </c>
      <c r="M26" s="9">
        <v>5.0000000000000001E-3</v>
      </c>
      <c r="N26" s="9">
        <v>2.8416213957375681E-2</v>
      </c>
      <c r="O26" s="9">
        <v>0.13235294117647059</v>
      </c>
      <c r="P26" s="7">
        <v>4757</v>
      </c>
      <c r="Q26" s="7">
        <v>20.491642290012539</v>
      </c>
      <c r="R26" s="7">
        <v>721.125</v>
      </c>
      <c r="S26" s="7">
        <v>5448.5</v>
      </c>
      <c r="T26" s="16">
        <v>-6223.5</v>
      </c>
      <c r="U26" t="s">
        <v>23</v>
      </c>
      <c r="V26" t="s">
        <v>24</v>
      </c>
      <c r="W26" t="s">
        <v>25</v>
      </c>
      <c r="X26" t="b">
        <f t="shared" si="0"/>
        <v>1</v>
      </c>
    </row>
    <row r="27" spans="1:24" x14ac:dyDescent="0.3">
      <c r="A27" s="6">
        <v>90</v>
      </c>
      <c r="B27" s="11">
        <v>44236</v>
      </c>
      <c r="C27" t="s">
        <v>29</v>
      </c>
      <c r="D27" t="s">
        <v>22</v>
      </c>
      <c r="E27" s="6">
        <v>348934</v>
      </c>
      <c r="F27" s="6">
        <v>555116</v>
      </c>
      <c r="G27" s="16">
        <v>62119.4</v>
      </c>
      <c r="H27" s="6">
        <v>3303</v>
      </c>
      <c r="I27" s="6">
        <v>96</v>
      </c>
      <c r="J27" s="6">
        <v>11</v>
      </c>
      <c r="K27" s="16">
        <v>54791</v>
      </c>
      <c r="L27" s="8">
        <v>-0.1179728072067663</v>
      </c>
      <c r="M27" s="9">
        <v>5.9501077252322038E-3</v>
      </c>
      <c r="N27" s="9">
        <v>2.9064486830154401E-2</v>
      </c>
      <c r="O27" s="9">
        <v>0.1145833333333333</v>
      </c>
      <c r="P27" s="7">
        <v>4981</v>
      </c>
      <c r="Q27" s="7">
        <v>18.806963366636388</v>
      </c>
      <c r="R27" s="7">
        <v>647.07708333333335</v>
      </c>
      <c r="S27" s="7">
        <v>5647.2181818181816</v>
      </c>
      <c r="T27" s="16">
        <v>-7328.4000000000005</v>
      </c>
      <c r="U27" t="s">
        <v>23</v>
      </c>
      <c r="V27" t="s">
        <v>24</v>
      </c>
      <c r="W27" t="s">
        <v>26</v>
      </c>
      <c r="X27" t="b">
        <f t="shared" si="0"/>
        <v>1</v>
      </c>
    </row>
    <row r="28" spans="1:24" x14ac:dyDescent="0.3">
      <c r="A28" s="6">
        <v>96</v>
      </c>
      <c r="B28" s="11">
        <v>44236</v>
      </c>
      <c r="C28" t="s">
        <v>29</v>
      </c>
      <c r="D28" t="s">
        <v>22</v>
      </c>
      <c r="E28" s="6">
        <v>4387490</v>
      </c>
      <c r="F28" s="6">
        <v>9721</v>
      </c>
      <c r="G28" s="16">
        <v>2152.37</v>
      </c>
      <c r="H28" s="6">
        <v>290</v>
      </c>
      <c r="I28" s="6">
        <v>6</v>
      </c>
      <c r="J28" s="6">
        <v>1</v>
      </c>
      <c r="K28" s="16">
        <v>4353</v>
      </c>
      <c r="L28" s="8">
        <v>1.022421795509137</v>
      </c>
      <c r="M28" s="9">
        <v>2.98323217775949E-2</v>
      </c>
      <c r="N28" s="9">
        <v>2.0689655172413789E-2</v>
      </c>
      <c r="O28" s="9">
        <v>0.16666666666666671</v>
      </c>
      <c r="P28" s="7">
        <v>4353</v>
      </c>
      <c r="Q28" s="7">
        <v>7.4219655172413788</v>
      </c>
      <c r="R28" s="7">
        <v>358.7283333333333</v>
      </c>
      <c r="S28" s="7">
        <v>2152.37</v>
      </c>
      <c r="T28" s="16">
        <v>2200.63</v>
      </c>
      <c r="U28" t="s">
        <v>23</v>
      </c>
      <c r="V28" t="s">
        <v>24</v>
      </c>
      <c r="W28" t="s">
        <v>27</v>
      </c>
      <c r="X28" t="b">
        <f t="shared" si="0"/>
        <v>1</v>
      </c>
    </row>
    <row r="29" spans="1:24" x14ac:dyDescent="0.3">
      <c r="A29" s="6">
        <v>97</v>
      </c>
      <c r="B29" s="11">
        <v>44236</v>
      </c>
      <c r="C29" t="s">
        <v>29</v>
      </c>
      <c r="D29" t="s">
        <v>22</v>
      </c>
      <c r="E29" s="6">
        <v>544756</v>
      </c>
      <c r="F29" s="6">
        <v>189854</v>
      </c>
      <c r="G29" s="16">
        <v>29091.4</v>
      </c>
      <c r="H29" s="6">
        <v>1198</v>
      </c>
      <c r="I29" s="6">
        <v>24</v>
      </c>
      <c r="J29" s="6">
        <v>3</v>
      </c>
      <c r="K29" s="16">
        <v>2943</v>
      </c>
      <c r="L29" s="8">
        <v>-0.89883608214111388</v>
      </c>
      <c r="M29" s="9">
        <v>6.3101119807852353E-3</v>
      </c>
      <c r="N29" s="9">
        <v>2.003338898163606E-2</v>
      </c>
      <c r="O29" s="9">
        <v>0.125</v>
      </c>
      <c r="P29" s="7">
        <v>981</v>
      </c>
      <c r="Q29" s="7">
        <v>24.283305509181972</v>
      </c>
      <c r="R29" s="7">
        <v>1212.1416666666671</v>
      </c>
      <c r="S29" s="7">
        <v>9697.1333333333332</v>
      </c>
      <c r="T29" s="16">
        <v>-26148.400000000001</v>
      </c>
      <c r="U29" t="s">
        <v>23</v>
      </c>
      <c r="V29" t="s">
        <v>24</v>
      </c>
      <c r="W29" t="s">
        <v>28</v>
      </c>
      <c r="X29" t="b">
        <f t="shared" si="0"/>
        <v>1</v>
      </c>
    </row>
    <row r="30" spans="1:24" x14ac:dyDescent="0.3">
      <c r="A30" s="6">
        <v>100</v>
      </c>
      <c r="B30" s="11">
        <v>44237</v>
      </c>
      <c r="C30" t="s">
        <v>30</v>
      </c>
      <c r="D30" t="s">
        <v>22</v>
      </c>
      <c r="E30" s="6">
        <v>349043</v>
      </c>
      <c r="F30" s="6">
        <v>961800</v>
      </c>
      <c r="G30" s="16">
        <v>43386.400000000001</v>
      </c>
      <c r="H30" s="6">
        <v>4809</v>
      </c>
      <c r="I30" s="6">
        <v>96</v>
      </c>
      <c r="J30" s="6">
        <v>8</v>
      </c>
      <c r="K30" s="16">
        <v>42400</v>
      </c>
      <c r="L30" s="8">
        <v>-2.273523500451758E-2</v>
      </c>
      <c r="M30" s="9">
        <v>5.0000000000000001E-3</v>
      </c>
      <c r="N30" s="9">
        <v>1.9962570180910789E-2</v>
      </c>
      <c r="O30" s="9">
        <v>8.3333333333333329E-2</v>
      </c>
      <c r="P30" s="7">
        <v>5300</v>
      </c>
      <c r="Q30" s="7">
        <v>9.0219172385111257</v>
      </c>
      <c r="R30" s="7">
        <v>451.94166666666672</v>
      </c>
      <c r="S30" s="7">
        <v>5423.3</v>
      </c>
      <c r="T30" s="16">
        <v>-986.40000000000146</v>
      </c>
      <c r="U30" t="s">
        <v>23</v>
      </c>
      <c r="V30" t="s">
        <v>24</v>
      </c>
      <c r="W30" t="s">
        <v>25</v>
      </c>
      <c r="X30" t="b">
        <f t="shared" si="0"/>
        <v>1</v>
      </c>
    </row>
    <row r="31" spans="1:24" x14ac:dyDescent="0.3">
      <c r="A31" s="6">
        <v>101</v>
      </c>
      <c r="B31" s="11">
        <v>44237</v>
      </c>
      <c r="C31" t="s">
        <v>30</v>
      </c>
      <c r="D31" t="s">
        <v>22</v>
      </c>
      <c r="E31" s="6">
        <v>348934</v>
      </c>
      <c r="F31" s="6">
        <v>852250</v>
      </c>
      <c r="G31" s="16">
        <v>43865.9</v>
      </c>
      <c r="H31" s="6">
        <v>6596</v>
      </c>
      <c r="I31" s="6">
        <v>132</v>
      </c>
      <c r="J31" s="6">
        <v>7</v>
      </c>
      <c r="K31" s="16">
        <v>34867</v>
      </c>
      <c r="L31" s="8">
        <v>-0.20514568263731059</v>
      </c>
      <c r="M31" s="9">
        <v>7.7395130536814316E-3</v>
      </c>
      <c r="N31" s="9">
        <v>2.0012128562765311E-2</v>
      </c>
      <c r="O31" s="9">
        <v>5.3030303030303032E-2</v>
      </c>
      <c r="P31" s="7">
        <v>4981</v>
      </c>
      <c r="Q31" s="7">
        <v>6.6503790175864159</v>
      </c>
      <c r="R31" s="7">
        <v>332.31742424242418</v>
      </c>
      <c r="S31" s="7">
        <v>6266.5571428571429</v>
      </c>
      <c r="T31" s="16">
        <v>-8998.9000000000015</v>
      </c>
      <c r="U31" t="s">
        <v>23</v>
      </c>
      <c r="V31" t="s">
        <v>24</v>
      </c>
      <c r="W31" t="s">
        <v>26</v>
      </c>
      <c r="X31" t="b">
        <f t="shared" si="0"/>
        <v>1</v>
      </c>
    </row>
    <row r="32" spans="1:24" x14ac:dyDescent="0.3">
      <c r="A32" s="6">
        <v>107</v>
      </c>
      <c r="B32" s="11">
        <v>44237</v>
      </c>
      <c r="C32" t="s">
        <v>30</v>
      </c>
      <c r="D32" t="s">
        <v>22</v>
      </c>
      <c r="E32" s="6">
        <v>4387490</v>
      </c>
      <c r="F32" s="6">
        <v>18399</v>
      </c>
      <c r="G32" s="16">
        <v>12713</v>
      </c>
      <c r="H32" s="6">
        <v>599</v>
      </c>
      <c r="I32" s="6">
        <v>22</v>
      </c>
      <c r="J32" s="6">
        <v>5</v>
      </c>
      <c r="K32" s="16">
        <v>27065</v>
      </c>
      <c r="L32" s="8">
        <v>1.1289231495319749</v>
      </c>
      <c r="M32" s="9">
        <v>3.2556117180281542E-2</v>
      </c>
      <c r="N32" s="9">
        <v>3.6727879799666109E-2</v>
      </c>
      <c r="O32" s="9">
        <v>0.22727272727272729</v>
      </c>
      <c r="P32" s="7">
        <v>5413</v>
      </c>
      <c r="Q32" s="7">
        <v>21.223706176961599</v>
      </c>
      <c r="R32" s="7">
        <v>577.86363636363637</v>
      </c>
      <c r="S32" s="7">
        <v>2542.6</v>
      </c>
      <c r="T32" s="16">
        <v>14352</v>
      </c>
      <c r="U32" t="s">
        <v>23</v>
      </c>
      <c r="V32" t="s">
        <v>24</v>
      </c>
      <c r="W32" t="s">
        <v>27</v>
      </c>
      <c r="X32" t="b">
        <f t="shared" si="0"/>
        <v>1</v>
      </c>
    </row>
    <row r="33" spans="1:24" x14ac:dyDescent="0.3">
      <c r="A33" s="6">
        <v>108</v>
      </c>
      <c r="B33" s="11">
        <v>44237</v>
      </c>
      <c r="C33" t="s">
        <v>30</v>
      </c>
      <c r="D33" t="s">
        <v>22</v>
      </c>
      <c r="E33" s="6">
        <v>544756</v>
      </c>
      <c r="F33" s="6">
        <v>321713</v>
      </c>
      <c r="G33" s="16">
        <v>131236</v>
      </c>
      <c r="H33" s="6">
        <v>2396</v>
      </c>
      <c r="I33" s="6">
        <v>88</v>
      </c>
      <c r="J33" s="6">
        <v>15</v>
      </c>
      <c r="K33" s="16">
        <v>14715</v>
      </c>
      <c r="L33" s="8">
        <v>-0.88787375415282388</v>
      </c>
      <c r="M33" s="9">
        <v>7.4476318955093513E-3</v>
      </c>
      <c r="N33" s="9">
        <v>3.6727879799666109E-2</v>
      </c>
      <c r="O33" s="9">
        <v>0.17045454545454539</v>
      </c>
      <c r="P33" s="7">
        <v>981</v>
      </c>
      <c r="Q33" s="7">
        <v>54.772954924874789</v>
      </c>
      <c r="R33" s="7">
        <v>1491.318181818182</v>
      </c>
      <c r="S33" s="7">
        <v>8749.0666666666675</v>
      </c>
      <c r="T33" s="16">
        <v>-116521</v>
      </c>
      <c r="U33" t="s">
        <v>23</v>
      </c>
      <c r="V33" t="s">
        <v>24</v>
      </c>
      <c r="W33" t="s">
        <v>28</v>
      </c>
      <c r="X33" t="b">
        <f t="shared" si="0"/>
        <v>1</v>
      </c>
    </row>
    <row r="34" spans="1:24" x14ac:dyDescent="0.3">
      <c r="A34" s="6">
        <v>111</v>
      </c>
      <c r="B34" s="11">
        <v>44238</v>
      </c>
      <c r="C34" t="s">
        <v>31</v>
      </c>
      <c r="D34" t="s">
        <v>22</v>
      </c>
      <c r="E34" s="6">
        <v>349043</v>
      </c>
      <c r="F34" s="6">
        <v>1061233</v>
      </c>
      <c r="G34" s="16">
        <v>105681</v>
      </c>
      <c r="H34" s="6">
        <v>7206</v>
      </c>
      <c r="I34" s="6">
        <v>144</v>
      </c>
      <c r="J34" s="6">
        <v>23</v>
      </c>
      <c r="K34" s="16">
        <v>105225</v>
      </c>
      <c r="L34" s="8">
        <v>-4.3148721151389556E-3</v>
      </c>
      <c r="M34" s="9">
        <v>6.7902147784699492E-3</v>
      </c>
      <c r="N34" s="9">
        <v>1.9983347210657781E-2</v>
      </c>
      <c r="O34" s="9">
        <v>0.15972222222222221</v>
      </c>
      <c r="P34" s="7">
        <v>4575</v>
      </c>
      <c r="Q34" s="7">
        <v>14.66569525395504</v>
      </c>
      <c r="R34" s="7">
        <v>733.89583333333337</v>
      </c>
      <c r="S34" s="7">
        <v>4594.826086956522</v>
      </c>
      <c r="T34" s="16">
        <v>-456</v>
      </c>
      <c r="U34" t="s">
        <v>23</v>
      </c>
      <c r="V34" t="s">
        <v>24</v>
      </c>
      <c r="W34" t="s">
        <v>25</v>
      </c>
      <c r="X34" t="b">
        <f t="shared" si="0"/>
        <v>1</v>
      </c>
    </row>
    <row r="35" spans="1:24" x14ac:dyDescent="0.3">
      <c r="A35" s="6">
        <v>112</v>
      </c>
      <c r="B35" s="11">
        <v>44238</v>
      </c>
      <c r="C35" t="s">
        <v>31</v>
      </c>
      <c r="D35" t="s">
        <v>22</v>
      </c>
      <c r="E35" s="6">
        <v>348934</v>
      </c>
      <c r="F35" s="6">
        <v>4564542</v>
      </c>
      <c r="G35" s="16">
        <v>188516</v>
      </c>
      <c r="H35" s="6">
        <v>9895</v>
      </c>
      <c r="I35" s="6">
        <v>304</v>
      </c>
      <c r="J35" s="6">
        <v>28</v>
      </c>
      <c r="K35" s="16">
        <v>131068</v>
      </c>
      <c r="L35" s="8">
        <v>-0.30473805936896597</v>
      </c>
      <c r="M35" s="9">
        <v>2.1677969005433621E-3</v>
      </c>
      <c r="N35" s="9">
        <v>3.0722587165234971E-2</v>
      </c>
      <c r="O35" s="9">
        <v>9.2105263157894732E-2</v>
      </c>
      <c r="P35" s="7">
        <v>4681</v>
      </c>
      <c r="Q35" s="7">
        <v>19.05164224355735</v>
      </c>
      <c r="R35" s="7">
        <v>620.11842105263156</v>
      </c>
      <c r="S35" s="7">
        <v>6732.7142857142853</v>
      </c>
      <c r="T35" s="16">
        <v>-57448</v>
      </c>
      <c r="U35" t="s">
        <v>23</v>
      </c>
      <c r="V35" t="s">
        <v>24</v>
      </c>
      <c r="W35" t="s">
        <v>26</v>
      </c>
      <c r="X35" t="b">
        <f t="shared" si="0"/>
        <v>1</v>
      </c>
    </row>
    <row r="36" spans="1:24" x14ac:dyDescent="0.3">
      <c r="A36" s="6">
        <v>118</v>
      </c>
      <c r="B36" s="11">
        <v>44238</v>
      </c>
      <c r="C36" t="s">
        <v>31</v>
      </c>
      <c r="D36" t="s">
        <v>22</v>
      </c>
      <c r="E36" s="6">
        <v>4387490</v>
      </c>
      <c r="F36" s="6">
        <v>26774</v>
      </c>
      <c r="G36" s="16">
        <v>17711.099999999999</v>
      </c>
      <c r="H36" s="6">
        <v>893</v>
      </c>
      <c r="I36" s="6">
        <v>27</v>
      </c>
      <c r="J36" s="6">
        <v>6</v>
      </c>
      <c r="K36" s="16">
        <v>29886</v>
      </c>
      <c r="L36" s="8">
        <v>0.68741636600775802</v>
      </c>
      <c r="M36" s="9">
        <v>3.3353253156046911E-2</v>
      </c>
      <c r="N36" s="9">
        <v>3.0235162374020162E-2</v>
      </c>
      <c r="O36" s="9">
        <v>0.22222222222222221</v>
      </c>
      <c r="P36" s="7">
        <v>4981</v>
      </c>
      <c r="Q36" s="7">
        <v>19.833258678611418</v>
      </c>
      <c r="R36" s="7">
        <v>655.96666666666658</v>
      </c>
      <c r="S36" s="7">
        <v>2951.85</v>
      </c>
      <c r="T36" s="16">
        <v>12174.9</v>
      </c>
      <c r="U36" t="s">
        <v>23</v>
      </c>
      <c r="V36" t="s">
        <v>24</v>
      </c>
      <c r="W36" t="s">
        <v>27</v>
      </c>
      <c r="X36" t="b">
        <f t="shared" si="0"/>
        <v>1</v>
      </c>
    </row>
    <row r="37" spans="1:24" x14ac:dyDescent="0.3">
      <c r="A37" s="6">
        <v>119</v>
      </c>
      <c r="B37" s="11">
        <v>44238</v>
      </c>
      <c r="C37" t="s">
        <v>31</v>
      </c>
      <c r="D37" t="s">
        <v>22</v>
      </c>
      <c r="E37" s="6">
        <v>544756</v>
      </c>
      <c r="F37" s="6">
        <v>359500</v>
      </c>
      <c r="G37" s="16">
        <v>6171.15</v>
      </c>
      <c r="H37" s="6">
        <v>3595</v>
      </c>
      <c r="I37" s="6">
        <v>5</v>
      </c>
      <c r="J37" s="6">
        <v>1</v>
      </c>
      <c r="K37" s="16">
        <v>677</v>
      </c>
      <c r="L37" s="8">
        <v>-0.89029597400808602</v>
      </c>
      <c r="M37" s="9">
        <v>0.01</v>
      </c>
      <c r="N37" s="9">
        <v>1.3908205841446451E-3</v>
      </c>
      <c r="O37" s="9">
        <v>0.2</v>
      </c>
      <c r="P37" s="7">
        <v>677</v>
      </c>
      <c r="Q37" s="7">
        <v>1.716592489568846</v>
      </c>
      <c r="R37" s="7">
        <v>1234.23</v>
      </c>
      <c r="S37" s="7">
        <v>6171.15</v>
      </c>
      <c r="T37" s="16">
        <v>-5494.15</v>
      </c>
      <c r="U37" t="s">
        <v>23</v>
      </c>
      <c r="V37" t="s">
        <v>24</v>
      </c>
      <c r="W37" t="s">
        <v>28</v>
      </c>
      <c r="X37" t="b">
        <f t="shared" si="0"/>
        <v>1</v>
      </c>
    </row>
    <row r="38" spans="1:24" x14ac:dyDescent="0.3">
      <c r="A38" s="6">
        <v>122</v>
      </c>
      <c r="B38" s="11">
        <v>44239</v>
      </c>
      <c r="C38" t="s">
        <v>32</v>
      </c>
      <c r="D38" t="s">
        <v>22</v>
      </c>
      <c r="E38" s="6">
        <v>349043</v>
      </c>
      <c r="F38" s="6">
        <v>1804868</v>
      </c>
      <c r="G38" s="16">
        <v>110004</v>
      </c>
      <c r="H38" s="6">
        <v>9607</v>
      </c>
      <c r="I38" s="6">
        <v>192</v>
      </c>
      <c r="J38" s="6">
        <v>23</v>
      </c>
      <c r="K38" s="16">
        <v>96163</v>
      </c>
      <c r="L38" s="8">
        <v>-0.12582269735645979</v>
      </c>
      <c r="M38" s="9">
        <v>5.3228269324958949E-3</v>
      </c>
      <c r="N38" s="9">
        <v>1.998542729259915E-2</v>
      </c>
      <c r="O38" s="9">
        <v>0.1197916666666667</v>
      </c>
      <c r="P38" s="7">
        <v>4181</v>
      </c>
      <c r="Q38" s="7">
        <v>11.45040074945352</v>
      </c>
      <c r="R38" s="7">
        <v>572.9375</v>
      </c>
      <c r="S38" s="7">
        <v>4782.782608695652</v>
      </c>
      <c r="T38" s="16">
        <v>-13841</v>
      </c>
      <c r="U38" t="s">
        <v>23</v>
      </c>
      <c r="V38" t="s">
        <v>24</v>
      </c>
      <c r="W38" t="s">
        <v>25</v>
      </c>
      <c r="X38" t="b">
        <f t="shared" si="0"/>
        <v>1</v>
      </c>
    </row>
    <row r="39" spans="1:24" x14ac:dyDescent="0.3">
      <c r="A39" s="6">
        <v>123</v>
      </c>
      <c r="B39" s="11">
        <v>44239</v>
      </c>
      <c r="C39" t="s">
        <v>32</v>
      </c>
      <c r="D39" t="s">
        <v>22</v>
      </c>
      <c r="E39" s="6">
        <v>348934</v>
      </c>
      <c r="F39" s="6">
        <v>2639200</v>
      </c>
      <c r="G39" s="16">
        <v>191722</v>
      </c>
      <c r="H39" s="6">
        <v>13196</v>
      </c>
      <c r="I39" s="6">
        <v>325</v>
      </c>
      <c r="J39" s="6">
        <v>32</v>
      </c>
      <c r="K39" s="16">
        <v>176512</v>
      </c>
      <c r="L39" s="8">
        <v>-7.9333618468407377E-2</v>
      </c>
      <c r="M39" s="9">
        <v>5.0000000000000001E-3</v>
      </c>
      <c r="N39" s="9">
        <v>2.4628675356168531E-2</v>
      </c>
      <c r="O39" s="9">
        <v>9.8461538461538461E-2</v>
      </c>
      <c r="P39" s="7">
        <v>5516</v>
      </c>
      <c r="Q39" s="7">
        <v>14.528796605031831</v>
      </c>
      <c r="R39" s="7">
        <v>589.91384615384618</v>
      </c>
      <c r="S39" s="7">
        <v>5991.3125</v>
      </c>
      <c r="T39" s="16">
        <v>-15210</v>
      </c>
      <c r="U39" t="s">
        <v>23</v>
      </c>
      <c r="V39" t="s">
        <v>24</v>
      </c>
      <c r="W39" t="s">
        <v>26</v>
      </c>
      <c r="X39" t="b">
        <f t="shared" si="0"/>
        <v>1</v>
      </c>
    </row>
    <row r="40" spans="1:24" x14ac:dyDescent="0.3">
      <c r="A40" s="6">
        <v>129</v>
      </c>
      <c r="B40" s="11">
        <v>44239</v>
      </c>
      <c r="C40" t="s">
        <v>32</v>
      </c>
      <c r="D40" t="s">
        <v>22</v>
      </c>
      <c r="E40" s="6">
        <v>4387490</v>
      </c>
      <c r="F40" s="6">
        <v>42587</v>
      </c>
      <c r="G40" s="16">
        <v>11278.3</v>
      </c>
      <c r="H40" s="6">
        <v>1207</v>
      </c>
      <c r="I40" s="6">
        <v>34</v>
      </c>
      <c r="J40" s="6">
        <v>8</v>
      </c>
      <c r="K40" s="16">
        <v>39848</v>
      </c>
      <c r="L40" s="8">
        <v>2.5331565927489068</v>
      </c>
      <c r="M40" s="9">
        <v>2.834198229506657E-2</v>
      </c>
      <c r="N40" s="9">
        <v>2.8169014084507039E-2</v>
      </c>
      <c r="O40" s="9">
        <v>0.23529411764705879</v>
      </c>
      <c r="P40" s="7">
        <v>4981</v>
      </c>
      <c r="Q40" s="7">
        <v>9.3440762220381099</v>
      </c>
      <c r="R40" s="7">
        <v>331.71470588235292</v>
      </c>
      <c r="S40" s="7">
        <v>1409.7874999999999</v>
      </c>
      <c r="T40" s="16">
        <v>28569.7</v>
      </c>
      <c r="U40" t="s">
        <v>23</v>
      </c>
      <c r="V40" t="s">
        <v>24</v>
      </c>
      <c r="W40" t="s">
        <v>27</v>
      </c>
      <c r="X40" t="b">
        <f t="shared" si="0"/>
        <v>1</v>
      </c>
    </row>
    <row r="41" spans="1:24" x14ac:dyDescent="0.3">
      <c r="A41" s="6">
        <v>130</v>
      </c>
      <c r="B41" s="11">
        <v>44239</v>
      </c>
      <c r="C41" t="s">
        <v>32</v>
      </c>
      <c r="D41" t="s">
        <v>22</v>
      </c>
      <c r="E41" s="6">
        <v>544756</v>
      </c>
      <c r="F41" s="6">
        <v>480000</v>
      </c>
      <c r="G41" s="16">
        <v>44580.9</v>
      </c>
      <c r="H41" s="6">
        <v>4800</v>
      </c>
      <c r="I41" s="6">
        <v>33</v>
      </c>
      <c r="J41" s="6">
        <v>5</v>
      </c>
      <c r="K41" s="16">
        <v>6945</v>
      </c>
      <c r="L41" s="8">
        <v>-0.84421579645094647</v>
      </c>
      <c r="M41" s="9">
        <v>0.01</v>
      </c>
      <c r="N41" s="9">
        <v>6.875E-3</v>
      </c>
      <c r="O41" s="9">
        <v>0.15151515151515149</v>
      </c>
      <c r="P41" s="7">
        <v>1389</v>
      </c>
      <c r="Q41" s="7">
        <v>9.2876875000000005</v>
      </c>
      <c r="R41" s="7">
        <v>1350.9363636363639</v>
      </c>
      <c r="S41" s="7">
        <v>8916.18</v>
      </c>
      <c r="T41" s="16">
        <v>-37635.9</v>
      </c>
      <c r="U41" t="s">
        <v>23</v>
      </c>
      <c r="V41" t="s">
        <v>24</v>
      </c>
      <c r="W41" t="s">
        <v>28</v>
      </c>
      <c r="X41" t="b">
        <f t="shared" si="0"/>
        <v>1</v>
      </c>
    </row>
    <row r="42" spans="1:24" x14ac:dyDescent="0.3">
      <c r="A42" s="6">
        <v>155</v>
      </c>
      <c r="B42" s="11">
        <v>44242</v>
      </c>
      <c r="C42" t="s">
        <v>21</v>
      </c>
      <c r="D42" t="s">
        <v>22</v>
      </c>
      <c r="E42" s="6">
        <v>349043</v>
      </c>
      <c r="F42" s="6">
        <v>3361800</v>
      </c>
      <c r="G42" s="16">
        <v>168064</v>
      </c>
      <c r="H42" s="6">
        <v>16809</v>
      </c>
      <c r="I42" s="6">
        <v>247</v>
      </c>
      <c r="J42" s="6">
        <v>30</v>
      </c>
      <c r="K42" s="16">
        <v>149430</v>
      </c>
      <c r="L42" s="8">
        <v>-0.11087442878903279</v>
      </c>
      <c r="M42" s="9">
        <v>5.0000000000000001E-3</v>
      </c>
      <c r="N42" s="9">
        <v>1.4694508894044859E-2</v>
      </c>
      <c r="O42" s="9">
        <v>0.1214574898785425</v>
      </c>
      <c r="P42" s="7">
        <v>4981</v>
      </c>
      <c r="Q42" s="7">
        <v>9.9984532095901013</v>
      </c>
      <c r="R42" s="7">
        <v>680.42105263157896</v>
      </c>
      <c r="S42" s="7">
        <v>5602.1333333333332</v>
      </c>
      <c r="T42" s="16">
        <v>-18634</v>
      </c>
      <c r="U42" t="s">
        <v>23</v>
      </c>
      <c r="V42" t="s">
        <v>24</v>
      </c>
      <c r="W42" t="s">
        <v>25</v>
      </c>
      <c r="X42" t="b">
        <f t="shared" si="0"/>
        <v>1</v>
      </c>
    </row>
    <row r="43" spans="1:24" x14ac:dyDescent="0.3">
      <c r="A43" s="6">
        <v>156</v>
      </c>
      <c r="B43" s="11">
        <v>44242</v>
      </c>
      <c r="C43" t="s">
        <v>21</v>
      </c>
      <c r="D43" t="s">
        <v>22</v>
      </c>
      <c r="E43" s="6">
        <v>348934</v>
      </c>
      <c r="F43" s="6">
        <v>3441545</v>
      </c>
      <c r="G43" s="16">
        <v>593576</v>
      </c>
      <c r="H43" s="6">
        <v>23103</v>
      </c>
      <c r="I43" s="6">
        <v>694</v>
      </c>
      <c r="J43" s="6">
        <v>81</v>
      </c>
      <c r="K43" s="16">
        <v>403461</v>
      </c>
      <c r="L43" s="8">
        <v>-0.32028754531854392</v>
      </c>
      <c r="M43" s="9">
        <v>6.7129733884054984E-3</v>
      </c>
      <c r="N43" s="9">
        <v>3.003938882396226E-2</v>
      </c>
      <c r="O43" s="9">
        <v>0.11671469740634011</v>
      </c>
      <c r="P43" s="7">
        <v>4981</v>
      </c>
      <c r="Q43" s="7">
        <v>25.69259403540666</v>
      </c>
      <c r="R43" s="7">
        <v>855.29682997118152</v>
      </c>
      <c r="S43" s="7">
        <v>7328.0987654320988</v>
      </c>
      <c r="T43" s="16">
        <v>-190115</v>
      </c>
      <c r="U43" t="s">
        <v>23</v>
      </c>
      <c r="V43" t="s">
        <v>24</v>
      </c>
      <c r="W43" t="s">
        <v>26</v>
      </c>
      <c r="X43" t="b">
        <f t="shared" si="0"/>
        <v>1</v>
      </c>
    </row>
    <row r="44" spans="1:24" x14ac:dyDescent="0.3">
      <c r="A44" s="6">
        <v>162</v>
      </c>
      <c r="B44" s="11">
        <v>44242</v>
      </c>
      <c r="C44" t="s">
        <v>21</v>
      </c>
      <c r="D44" t="s">
        <v>22</v>
      </c>
      <c r="E44" s="6">
        <v>4387490</v>
      </c>
      <c r="F44" s="6">
        <v>63986</v>
      </c>
      <c r="G44" s="16">
        <v>14609.5</v>
      </c>
      <c r="H44" s="6">
        <v>2099</v>
      </c>
      <c r="I44" s="6">
        <v>28</v>
      </c>
      <c r="J44" s="6">
        <v>5</v>
      </c>
      <c r="K44" s="16">
        <v>24905</v>
      </c>
      <c r="L44" s="8">
        <v>0.70471268695027212</v>
      </c>
      <c r="M44" s="9">
        <v>3.2804050886131343E-2</v>
      </c>
      <c r="N44" s="9">
        <v>1.3339685564554549E-2</v>
      </c>
      <c r="O44" s="9">
        <v>0.1785714285714286</v>
      </c>
      <c r="P44" s="7">
        <v>4981</v>
      </c>
      <c r="Q44" s="7">
        <v>6.9602191519771317</v>
      </c>
      <c r="R44" s="7">
        <v>521.76785714285711</v>
      </c>
      <c r="S44" s="7">
        <v>2921.9</v>
      </c>
      <c r="T44" s="16">
        <v>10295.5</v>
      </c>
      <c r="U44" t="s">
        <v>23</v>
      </c>
      <c r="V44" t="s">
        <v>24</v>
      </c>
      <c r="W44" t="s">
        <v>27</v>
      </c>
      <c r="X44" t="b">
        <f t="shared" si="0"/>
        <v>1</v>
      </c>
    </row>
    <row r="45" spans="1:24" x14ac:dyDescent="0.3">
      <c r="A45" s="6">
        <v>163</v>
      </c>
      <c r="B45" s="11">
        <v>44242</v>
      </c>
      <c r="C45" t="s">
        <v>21</v>
      </c>
      <c r="D45" t="s">
        <v>22</v>
      </c>
      <c r="E45" s="6">
        <v>544756</v>
      </c>
      <c r="F45" s="6">
        <v>1093435</v>
      </c>
      <c r="G45" s="16">
        <v>6587.76</v>
      </c>
      <c r="H45" s="6">
        <v>8402</v>
      </c>
      <c r="I45" s="6">
        <v>4</v>
      </c>
      <c r="J45" s="6">
        <v>1</v>
      </c>
      <c r="K45" s="16">
        <v>741</v>
      </c>
      <c r="L45" s="8">
        <v>-0.88751867098983572</v>
      </c>
      <c r="M45" s="9">
        <v>7.6840415754022874E-3</v>
      </c>
      <c r="N45" s="9">
        <v>4.7607712449416811E-4</v>
      </c>
      <c r="O45" s="9">
        <v>0.25</v>
      </c>
      <c r="P45" s="7">
        <v>741</v>
      </c>
      <c r="Q45" s="7">
        <v>0.78407045941442521</v>
      </c>
      <c r="R45" s="7">
        <v>1646.94</v>
      </c>
      <c r="S45" s="7">
        <v>6587.76</v>
      </c>
      <c r="T45" s="16">
        <v>-5846.76</v>
      </c>
      <c r="U45" t="s">
        <v>23</v>
      </c>
      <c r="V45" t="s">
        <v>24</v>
      </c>
      <c r="W45" t="s">
        <v>28</v>
      </c>
      <c r="X45" t="b">
        <f t="shared" si="0"/>
        <v>1</v>
      </c>
    </row>
    <row r="46" spans="1:24" x14ac:dyDescent="0.3">
      <c r="A46" s="6">
        <v>166</v>
      </c>
      <c r="B46" s="11">
        <v>44243</v>
      </c>
      <c r="C46" t="s">
        <v>29</v>
      </c>
      <c r="D46" t="s">
        <v>22</v>
      </c>
      <c r="E46" s="6">
        <v>349043</v>
      </c>
      <c r="F46" s="6">
        <v>3839000</v>
      </c>
      <c r="G46" s="16">
        <v>393027</v>
      </c>
      <c r="H46" s="6">
        <v>19195</v>
      </c>
      <c r="I46" s="6">
        <v>384</v>
      </c>
      <c r="J46" s="6">
        <v>64</v>
      </c>
      <c r="K46" s="16">
        <v>336448</v>
      </c>
      <c r="L46" s="8">
        <v>-0.1439570309418946</v>
      </c>
      <c r="M46" s="9">
        <v>5.0000000000000001E-3</v>
      </c>
      <c r="N46" s="9">
        <v>2.0005209690023441E-2</v>
      </c>
      <c r="O46" s="9">
        <v>0.16666666666666671</v>
      </c>
      <c r="P46" s="7">
        <v>5257</v>
      </c>
      <c r="Q46" s="7">
        <v>20.475488408439698</v>
      </c>
      <c r="R46" s="7">
        <v>1023.5078125</v>
      </c>
      <c r="S46" s="7">
        <v>6141.046875</v>
      </c>
      <c r="T46" s="16">
        <v>-56579</v>
      </c>
      <c r="U46" t="s">
        <v>23</v>
      </c>
      <c r="V46" t="s">
        <v>24</v>
      </c>
      <c r="W46" t="s">
        <v>25</v>
      </c>
      <c r="X46" t="b">
        <f t="shared" si="0"/>
        <v>1</v>
      </c>
    </row>
    <row r="47" spans="1:24" x14ac:dyDescent="0.3">
      <c r="A47" s="6">
        <v>167</v>
      </c>
      <c r="B47" s="11">
        <v>44243</v>
      </c>
      <c r="C47" t="s">
        <v>29</v>
      </c>
      <c r="D47" t="s">
        <v>22</v>
      </c>
      <c r="E47" s="6">
        <v>348934</v>
      </c>
      <c r="F47" s="6">
        <v>5280000</v>
      </c>
      <c r="G47" s="16">
        <v>595176</v>
      </c>
      <c r="H47" s="6">
        <v>26400</v>
      </c>
      <c r="I47" s="6">
        <v>923</v>
      </c>
      <c r="J47" s="6">
        <v>80</v>
      </c>
      <c r="K47" s="16">
        <v>392160</v>
      </c>
      <c r="L47" s="8">
        <v>-0.34110246380902448</v>
      </c>
      <c r="M47" s="9">
        <v>5.0000000000000001E-3</v>
      </c>
      <c r="N47" s="9">
        <v>3.4962121212121222E-2</v>
      </c>
      <c r="O47" s="9">
        <v>8.6673889490790898E-2</v>
      </c>
      <c r="P47" s="7">
        <v>4902</v>
      </c>
      <c r="Q47" s="7">
        <v>22.54454545454545</v>
      </c>
      <c r="R47" s="7">
        <v>644.82773564463707</v>
      </c>
      <c r="S47" s="7">
        <v>7439.7</v>
      </c>
      <c r="T47" s="16">
        <v>-203016</v>
      </c>
      <c r="U47" t="s">
        <v>23</v>
      </c>
      <c r="V47" t="s">
        <v>24</v>
      </c>
      <c r="W47" t="s">
        <v>26</v>
      </c>
      <c r="X47" t="b">
        <f t="shared" si="0"/>
        <v>1</v>
      </c>
    </row>
    <row r="48" spans="1:24" x14ac:dyDescent="0.3">
      <c r="A48" s="6">
        <v>173</v>
      </c>
      <c r="B48" s="11">
        <v>44243</v>
      </c>
      <c r="C48" t="s">
        <v>29</v>
      </c>
      <c r="D48" t="s">
        <v>22</v>
      </c>
      <c r="E48" s="6">
        <v>4387490</v>
      </c>
      <c r="F48" s="6">
        <v>80233</v>
      </c>
      <c r="G48" s="16">
        <v>31712</v>
      </c>
      <c r="H48" s="6">
        <v>2407</v>
      </c>
      <c r="I48" s="6">
        <v>48</v>
      </c>
      <c r="J48" s="6">
        <v>12</v>
      </c>
      <c r="K48" s="16">
        <v>59772</v>
      </c>
      <c r="L48" s="8">
        <v>0.88483854692230068</v>
      </c>
      <c r="M48" s="9">
        <v>3.0000124636994752E-2</v>
      </c>
      <c r="N48" s="9">
        <v>1.994183631076028E-2</v>
      </c>
      <c r="O48" s="9">
        <v>0.25</v>
      </c>
      <c r="P48" s="7">
        <v>4981</v>
      </c>
      <c r="Q48" s="7">
        <v>13.17490652264229</v>
      </c>
      <c r="R48" s="7">
        <v>660.66666666666663</v>
      </c>
      <c r="S48" s="7">
        <v>2642.666666666667</v>
      </c>
      <c r="T48" s="16">
        <v>28060</v>
      </c>
      <c r="U48" t="s">
        <v>23</v>
      </c>
      <c r="V48" t="s">
        <v>24</v>
      </c>
      <c r="W48" t="s">
        <v>27</v>
      </c>
      <c r="X48" t="b">
        <f t="shared" si="0"/>
        <v>1</v>
      </c>
    </row>
    <row r="49" spans="1:24" x14ac:dyDescent="0.3">
      <c r="A49" s="6">
        <v>174</v>
      </c>
      <c r="B49" s="11">
        <v>44243</v>
      </c>
      <c r="C49" t="s">
        <v>29</v>
      </c>
      <c r="D49" t="s">
        <v>22</v>
      </c>
      <c r="E49" s="6">
        <v>544756</v>
      </c>
      <c r="F49" s="6">
        <v>1576818</v>
      </c>
      <c r="G49" s="16">
        <v>345629</v>
      </c>
      <c r="H49" s="6">
        <v>9597</v>
      </c>
      <c r="I49" s="6">
        <v>292</v>
      </c>
      <c r="J49" s="6">
        <v>39</v>
      </c>
      <c r="K49" s="16">
        <v>25857</v>
      </c>
      <c r="L49" s="8">
        <v>-0.92518856924621484</v>
      </c>
      <c r="M49" s="9">
        <v>6.086307994962006E-3</v>
      </c>
      <c r="N49" s="9">
        <v>3.042617484630614E-2</v>
      </c>
      <c r="O49" s="9">
        <v>0.13356164383561639</v>
      </c>
      <c r="P49" s="7">
        <v>663</v>
      </c>
      <c r="Q49" s="7">
        <v>36.014275294362832</v>
      </c>
      <c r="R49" s="7">
        <v>1183.66095890411</v>
      </c>
      <c r="S49" s="7">
        <v>8862.2820512820508</v>
      </c>
      <c r="T49" s="16">
        <v>-319772</v>
      </c>
      <c r="U49" t="s">
        <v>23</v>
      </c>
      <c r="V49" t="s">
        <v>24</v>
      </c>
      <c r="W49" t="s">
        <v>28</v>
      </c>
      <c r="X49" t="b">
        <f t="shared" si="0"/>
        <v>1</v>
      </c>
    </row>
    <row r="50" spans="1:24" x14ac:dyDescent="0.3">
      <c r="A50" s="6">
        <v>177</v>
      </c>
      <c r="B50" s="11">
        <v>44244</v>
      </c>
      <c r="C50" t="s">
        <v>30</v>
      </c>
      <c r="D50" t="s">
        <v>22</v>
      </c>
      <c r="E50" s="6">
        <v>349043</v>
      </c>
      <c r="F50" s="6">
        <v>4320600</v>
      </c>
      <c r="G50" s="16">
        <v>489831</v>
      </c>
      <c r="H50" s="6">
        <v>21603</v>
      </c>
      <c r="I50" s="6">
        <v>652</v>
      </c>
      <c r="J50" s="6">
        <v>86</v>
      </c>
      <c r="K50" s="16">
        <v>428366</v>
      </c>
      <c r="L50" s="8">
        <v>-0.1254820540145479</v>
      </c>
      <c r="M50" s="9">
        <v>5.0000000000000001E-3</v>
      </c>
      <c r="N50" s="9">
        <v>3.0180993380548998E-2</v>
      </c>
      <c r="O50" s="9">
        <v>0.13190184049079751</v>
      </c>
      <c r="P50" s="7">
        <v>4981</v>
      </c>
      <c r="Q50" s="7">
        <v>22.674211915011799</v>
      </c>
      <c r="R50" s="7">
        <v>751.27453987730064</v>
      </c>
      <c r="S50" s="7">
        <v>5695.7093023255811</v>
      </c>
      <c r="T50" s="16">
        <v>-61465</v>
      </c>
      <c r="U50" t="s">
        <v>23</v>
      </c>
      <c r="V50" t="s">
        <v>24</v>
      </c>
      <c r="W50" t="s">
        <v>25</v>
      </c>
      <c r="X50" t="b">
        <f t="shared" si="0"/>
        <v>1</v>
      </c>
    </row>
    <row r="51" spans="1:24" x14ac:dyDescent="0.3">
      <c r="A51" s="6">
        <v>178</v>
      </c>
      <c r="B51" s="11">
        <v>44244</v>
      </c>
      <c r="C51" t="s">
        <v>30</v>
      </c>
      <c r="D51" t="s">
        <v>22</v>
      </c>
      <c r="E51" s="6">
        <v>348934</v>
      </c>
      <c r="F51" s="6">
        <v>6102420</v>
      </c>
      <c r="G51" s="16">
        <v>403691</v>
      </c>
      <c r="H51" s="6">
        <v>29704</v>
      </c>
      <c r="I51" s="6">
        <v>594</v>
      </c>
      <c r="J51" s="6">
        <v>61</v>
      </c>
      <c r="K51" s="16">
        <v>303841</v>
      </c>
      <c r="L51" s="8">
        <v>-0.24734264573646669</v>
      </c>
      <c r="M51" s="9">
        <v>4.8675771251405183E-3</v>
      </c>
      <c r="N51" s="9">
        <v>1.9997306760032321E-2</v>
      </c>
      <c r="O51" s="9">
        <v>0.1026936026936027</v>
      </c>
      <c r="P51" s="7">
        <v>4981</v>
      </c>
      <c r="Q51" s="7">
        <v>13.590459197414489</v>
      </c>
      <c r="R51" s="7">
        <v>679.61447811447806</v>
      </c>
      <c r="S51" s="7">
        <v>6617.8852459016398</v>
      </c>
      <c r="T51" s="16">
        <v>-99850</v>
      </c>
      <c r="U51" t="s">
        <v>23</v>
      </c>
      <c r="V51" t="s">
        <v>24</v>
      </c>
      <c r="W51" t="s">
        <v>26</v>
      </c>
      <c r="X51" t="b">
        <f t="shared" si="0"/>
        <v>1</v>
      </c>
    </row>
    <row r="52" spans="1:24" x14ac:dyDescent="0.3">
      <c r="A52" s="6">
        <v>184</v>
      </c>
      <c r="B52" s="11">
        <v>44244</v>
      </c>
      <c r="C52" t="s">
        <v>30</v>
      </c>
      <c r="D52" t="s">
        <v>22</v>
      </c>
      <c r="E52" s="6">
        <v>4387490</v>
      </c>
      <c r="F52" s="6">
        <v>84332</v>
      </c>
      <c r="G52" s="16">
        <v>31422.5</v>
      </c>
      <c r="H52" s="6">
        <v>2698</v>
      </c>
      <c r="I52" s="6">
        <v>54</v>
      </c>
      <c r="J52" s="6">
        <v>11</v>
      </c>
      <c r="K52" s="16">
        <v>45441</v>
      </c>
      <c r="L52" s="8">
        <v>0.44612936590023072</v>
      </c>
      <c r="M52" s="9">
        <v>3.1992600673528437E-2</v>
      </c>
      <c r="N52" s="9">
        <v>2.0014825796886581E-2</v>
      </c>
      <c r="O52" s="9">
        <v>0.20370370370370369</v>
      </c>
      <c r="P52" s="7">
        <v>4131</v>
      </c>
      <c r="Q52" s="7">
        <v>11.64659006671609</v>
      </c>
      <c r="R52" s="7">
        <v>581.89814814814815</v>
      </c>
      <c r="S52" s="7">
        <v>2856.590909090909</v>
      </c>
      <c r="T52" s="16">
        <v>14018.5</v>
      </c>
      <c r="U52" t="s">
        <v>23</v>
      </c>
      <c r="V52" t="s">
        <v>24</v>
      </c>
      <c r="W52" t="s">
        <v>27</v>
      </c>
      <c r="X52" t="b">
        <f t="shared" si="0"/>
        <v>1</v>
      </c>
    </row>
    <row r="53" spans="1:24" x14ac:dyDescent="0.3">
      <c r="A53" s="6">
        <v>185</v>
      </c>
      <c r="B53" s="11">
        <v>44244</v>
      </c>
      <c r="C53" t="s">
        <v>30</v>
      </c>
      <c r="D53" t="s">
        <v>22</v>
      </c>
      <c r="E53" s="6">
        <v>544756</v>
      </c>
      <c r="F53" s="6">
        <v>1361187</v>
      </c>
      <c r="G53" s="16">
        <v>291254</v>
      </c>
      <c r="H53" s="6">
        <v>10810</v>
      </c>
      <c r="I53" s="6">
        <v>216</v>
      </c>
      <c r="J53" s="6">
        <v>32</v>
      </c>
      <c r="K53" s="16">
        <v>31392</v>
      </c>
      <c r="L53" s="8">
        <v>-0.89221778928358064</v>
      </c>
      <c r="M53" s="9">
        <v>7.9415980317179054E-3</v>
      </c>
      <c r="N53" s="9">
        <v>1.9981498612395929E-2</v>
      </c>
      <c r="O53" s="9">
        <v>0.14814814814814811</v>
      </c>
      <c r="P53" s="7">
        <v>981</v>
      </c>
      <c r="Q53" s="7">
        <v>26.943015726179461</v>
      </c>
      <c r="R53" s="7">
        <v>1348.398148148148</v>
      </c>
      <c r="S53" s="7">
        <v>9101.6875</v>
      </c>
      <c r="T53" s="16">
        <v>-259862</v>
      </c>
      <c r="U53" t="s">
        <v>23</v>
      </c>
      <c r="V53" t="s">
        <v>24</v>
      </c>
      <c r="W53" t="s">
        <v>28</v>
      </c>
      <c r="X53" t="b">
        <f t="shared" si="0"/>
        <v>1</v>
      </c>
    </row>
    <row r="54" spans="1:24" x14ac:dyDescent="0.3">
      <c r="A54" s="6">
        <v>188</v>
      </c>
      <c r="B54" s="11">
        <v>44245</v>
      </c>
      <c r="C54" t="s">
        <v>31</v>
      </c>
      <c r="D54" t="s">
        <v>22</v>
      </c>
      <c r="E54" s="6">
        <v>349043</v>
      </c>
      <c r="F54" s="6">
        <v>4798200</v>
      </c>
      <c r="G54" s="16">
        <v>30892.2</v>
      </c>
      <c r="H54" s="6">
        <v>23991</v>
      </c>
      <c r="I54" s="6">
        <v>61</v>
      </c>
      <c r="J54" s="6">
        <v>6</v>
      </c>
      <c r="K54" s="16">
        <v>25686</v>
      </c>
      <c r="L54" s="8">
        <v>-0.1685279779361781</v>
      </c>
      <c r="M54" s="9">
        <v>5.0000000000000001E-3</v>
      </c>
      <c r="N54" s="9">
        <v>2.5426201492226249E-3</v>
      </c>
      <c r="O54" s="9">
        <v>9.8360655737704916E-2</v>
      </c>
      <c r="P54" s="7">
        <v>4281</v>
      </c>
      <c r="Q54" s="7">
        <v>1.2876578717018881</v>
      </c>
      <c r="R54" s="7">
        <v>506.42950819672132</v>
      </c>
      <c r="S54" s="7">
        <v>5148.7</v>
      </c>
      <c r="T54" s="16">
        <v>-5206.2000000000007</v>
      </c>
      <c r="U54" t="s">
        <v>23</v>
      </c>
      <c r="V54" t="s">
        <v>24</v>
      </c>
      <c r="W54" t="s">
        <v>25</v>
      </c>
      <c r="X54" t="b">
        <f t="shared" si="0"/>
        <v>1</v>
      </c>
    </row>
    <row r="55" spans="1:24" x14ac:dyDescent="0.3">
      <c r="A55" s="6">
        <v>189</v>
      </c>
      <c r="B55" s="11">
        <v>44245</v>
      </c>
      <c r="C55" t="s">
        <v>31</v>
      </c>
      <c r="D55" t="s">
        <v>22</v>
      </c>
      <c r="E55" s="6">
        <v>348934</v>
      </c>
      <c r="F55" s="6">
        <v>4678356</v>
      </c>
      <c r="G55" s="16">
        <v>373294</v>
      </c>
      <c r="H55" s="6">
        <v>33003</v>
      </c>
      <c r="I55" s="6">
        <v>1313</v>
      </c>
      <c r="J55" s="6">
        <v>51</v>
      </c>
      <c r="K55" s="16">
        <v>237711</v>
      </c>
      <c r="L55" s="8">
        <v>-0.36320701645351922</v>
      </c>
      <c r="M55" s="9">
        <v>7.0544011614336322E-3</v>
      </c>
      <c r="N55" s="9">
        <v>3.9784262036784528E-2</v>
      </c>
      <c r="O55" s="9">
        <v>3.8842345773038842E-2</v>
      </c>
      <c r="P55" s="7">
        <v>4661</v>
      </c>
      <c r="Q55" s="7">
        <v>11.310911129291281</v>
      </c>
      <c r="R55" s="7">
        <v>284.30616907844632</v>
      </c>
      <c r="S55" s="7">
        <v>7319.4901960784309</v>
      </c>
      <c r="T55" s="16">
        <v>-135583</v>
      </c>
      <c r="U55" t="s">
        <v>23</v>
      </c>
      <c r="V55" t="s">
        <v>24</v>
      </c>
      <c r="W55" t="s">
        <v>26</v>
      </c>
      <c r="X55" t="b">
        <f t="shared" si="0"/>
        <v>1</v>
      </c>
    </row>
    <row r="56" spans="1:24" x14ac:dyDescent="0.3">
      <c r="A56" s="6">
        <v>195</v>
      </c>
      <c r="B56" s="11">
        <v>44245</v>
      </c>
      <c r="C56" t="s">
        <v>31</v>
      </c>
      <c r="D56" t="s">
        <v>22</v>
      </c>
      <c r="E56" s="6">
        <v>4387490</v>
      </c>
      <c r="F56" s="6">
        <v>97885</v>
      </c>
      <c r="G56" s="16">
        <v>17176.7</v>
      </c>
      <c r="H56" s="6">
        <v>2991</v>
      </c>
      <c r="I56" s="6">
        <v>28</v>
      </c>
      <c r="J56" s="6">
        <v>6</v>
      </c>
      <c r="K56" s="16">
        <v>33930</v>
      </c>
      <c r="L56" s="8">
        <v>0.97535032922505482</v>
      </c>
      <c r="M56" s="9">
        <v>3.0556265004852631E-2</v>
      </c>
      <c r="N56" s="9">
        <v>9.3614175860916079E-3</v>
      </c>
      <c r="O56" s="9">
        <v>0.2142857142857143</v>
      </c>
      <c r="P56" s="7">
        <v>5655</v>
      </c>
      <c r="Q56" s="7">
        <v>5.7427950518221333</v>
      </c>
      <c r="R56" s="7">
        <v>613.45357142857142</v>
      </c>
      <c r="S56" s="7">
        <v>2862.7833333333328</v>
      </c>
      <c r="T56" s="16">
        <v>16753.3</v>
      </c>
      <c r="U56" t="s">
        <v>23</v>
      </c>
      <c r="V56" t="s">
        <v>24</v>
      </c>
      <c r="W56" t="s">
        <v>27</v>
      </c>
      <c r="X56" t="b">
        <f t="shared" si="0"/>
        <v>1</v>
      </c>
    </row>
    <row r="57" spans="1:24" x14ac:dyDescent="0.3">
      <c r="A57" s="6">
        <v>196</v>
      </c>
      <c r="B57" s="11">
        <v>44245</v>
      </c>
      <c r="C57" t="s">
        <v>31</v>
      </c>
      <c r="D57" t="s">
        <v>22</v>
      </c>
      <c r="E57" s="6">
        <v>544756</v>
      </c>
      <c r="F57" s="6">
        <v>1181224</v>
      </c>
      <c r="G57" s="16">
        <v>171831</v>
      </c>
      <c r="H57" s="6">
        <v>11991</v>
      </c>
      <c r="I57" s="6">
        <v>128</v>
      </c>
      <c r="J57" s="6">
        <v>19</v>
      </c>
      <c r="K57" s="16">
        <v>17917</v>
      </c>
      <c r="L57" s="8">
        <v>-0.89572894297303751</v>
      </c>
      <c r="M57" s="9">
        <v>1.0151334547892689E-2</v>
      </c>
      <c r="N57" s="9">
        <v>1.0674672671170039E-2</v>
      </c>
      <c r="O57" s="9">
        <v>0.1484375</v>
      </c>
      <c r="P57" s="7">
        <v>943</v>
      </c>
      <c r="Q57" s="7">
        <v>14.329997498123589</v>
      </c>
      <c r="R57" s="7">
        <v>1342.4296875</v>
      </c>
      <c r="S57" s="7">
        <v>9043.7368421052633</v>
      </c>
      <c r="T57" s="16">
        <v>-153914</v>
      </c>
      <c r="U57" t="s">
        <v>23</v>
      </c>
      <c r="V57" t="s">
        <v>24</v>
      </c>
      <c r="W57" t="s">
        <v>28</v>
      </c>
      <c r="X57" t="b">
        <f t="shared" si="0"/>
        <v>1</v>
      </c>
    </row>
    <row r="58" spans="1:24" x14ac:dyDescent="0.3">
      <c r="A58" s="6">
        <v>199</v>
      </c>
      <c r="B58" s="11">
        <v>44246</v>
      </c>
      <c r="C58" t="s">
        <v>32</v>
      </c>
      <c r="D58" t="s">
        <v>22</v>
      </c>
      <c r="E58" s="6">
        <v>349043</v>
      </c>
      <c r="F58" s="6">
        <v>15345139</v>
      </c>
      <c r="G58" s="16">
        <v>53253.9</v>
      </c>
      <c r="H58" s="6">
        <v>26407</v>
      </c>
      <c r="I58" s="6">
        <v>71</v>
      </c>
      <c r="J58" s="6">
        <v>10</v>
      </c>
      <c r="K58" s="16">
        <v>44550</v>
      </c>
      <c r="L58" s="8">
        <v>-0.16344155075966271</v>
      </c>
      <c r="M58" s="9">
        <v>1.720870693970253E-3</v>
      </c>
      <c r="N58" s="9">
        <v>2.6886810315446658E-3</v>
      </c>
      <c r="O58" s="9">
        <v>0.14084507042253519</v>
      </c>
      <c r="P58" s="7">
        <v>4455</v>
      </c>
      <c r="Q58" s="7">
        <v>2.0166584617715002</v>
      </c>
      <c r="R58" s="7">
        <v>750.0549295774648</v>
      </c>
      <c r="S58" s="7">
        <v>5325.39</v>
      </c>
      <c r="T58" s="16">
        <v>-8703.9000000000015</v>
      </c>
      <c r="U58" t="s">
        <v>23</v>
      </c>
      <c r="V58" t="s">
        <v>24</v>
      </c>
      <c r="W58" t="s">
        <v>25</v>
      </c>
      <c r="X58" t="b">
        <f t="shared" si="0"/>
        <v>1</v>
      </c>
    </row>
    <row r="59" spans="1:24" x14ac:dyDescent="0.3">
      <c r="A59" s="6">
        <v>200</v>
      </c>
      <c r="B59" s="11">
        <v>44246</v>
      </c>
      <c r="C59" t="s">
        <v>32</v>
      </c>
      <c r="D59" t="s">
        <v>22</v>
      </c>
      <c r="E59" s="6">
        <v>348934</v>
      </c>
      <c r="F59" s="6">
        <v>7260800</v>
      </c>
      <c r="G59" s="16">
        <v>415376</v>
      </c>
      <c r="H59" s="6">
        <v>36304</v>
      </c>
      <c r="I59" s="6">
        <v>726</v>
      </c>
      <c r="J59" s="6">
        <v>58</v>
      </c>
      <c r="K59" s="16">
        <v>288898</v>
      </c>
      <c r="L59" s="8">
        <v>-0.30449038943029932</v>
      </c>
      <c r="M59" s="9">
        <v>5.0000000000000001E-3</v>
      </c>
      <c r="N59" s="9">
        <v>1.9997796386073161E-2</v>
      </c>
      <c r="O59" s="9">
        <v>7.9889807162534437E-2</v>
      </c>
      <c r="P59" s="7">
        <v>4981</v>
      </c>
      <c r="Q59" s="7">
        <v>11.44160423093874</v>
      </c>
      <c r="R59" s="7">
        <v>572.14325068870528</v>
      </c>
      <c r="S59" s="7">
        <v>7161.6551724137926</v>
      </c>
      <c r="T59" s="16">
        <v>-126478</v>
      </c>
      <c r="U59" t="s">
        <v>23</v>
      </c>
      <c r="V59" t="s">
        <v>24</v>
      </c>
      <c r="W59" t="s">
        <v>26</v>
      </c>
      <c r="X59" t="b">
        <f t="shared" si="0"/>
        <v>1</v>
      </c>
    </row>
    <row r="60" spans="1:24" x14ac:dyDescent="0.3">
      <c r="A60" s="6">
        <v>206</v>
      </c>
      <c r="B60" s="11">
        <v>44246</v>
      </c>
      <c r="C60" t="s">
        <v>32</v>
      </c>
      <c r="D60" t="s">
        <v>22</v>
      </c>
      <c r="E60" s="6">
        <v>4387490</v>
      </c>
      <c r="F60" s="6">
        <v>115166</v>
      </c>
      <c r="G60" s="16">
        <v>3173.41</v>
      </c>
      <c r="H60" s="6">
        <v>3297</v>
      </c>
      <c r="I60" s="6">
        <v>7</v>
      </c>
      <c r="J60" s="6">
        <v>1</v>
      </c>
      <c r="K60" s="16">
        <v>5199</v>
      </c>
      <c r="L60" s="8">
        <v>0.63830075533889419</v>
      </c>
      <c r="M60" s="9">
        <v>2.8628240973898551E-2</v>
      </c>
      <c r="N60" s="9">
        <v>2.123142250530786E-3</v>
      </c>
      <c r="O60" s="9">
        <v>0.14285714285714279</v>
      </c>
      <c r="P60" s="7">
        <v>5199</v>
      </c>
      <c r="Q60" s="7">
        <v>0.96251440703669999</v>
      </c>
      <c r="R60" s="7">
        <v>453.34428571428572</v>
      </c>
      <c r="S60" s="7">
        <v>3173.41</v>
      </c>
      <c r="T60" s="16">
        <v>2025.59</v>
      </c>
      <c r="U60" t="s">
        <v>23</v>
      </c>
      <c r="V60" t="s">
        <v>24</v>
      </c>
      <c r="W60" t="s">
        <v>27</v>
      </c>
      <c r="X60" t="b">
        <f t="shared" si="0"/>
        <v>1</v>
      </c>
    </row>
    <row r="61" spans="1:24" x14ac:dyDescent="0.3">
      <c r="A61" s="6">
        <v>207</v>
      </c>
      <c r="B61" s="11">
        <v>44246</v>
      </c>
      <c r="C61" t="s">
        <v>32</v>
      </c>
      <c r="D61" t="s">
        <v>22</v>
      </c>
      <c r="E61" s="6">
        <v>544756</v>
      </c>
      <c r="F61" s="6">
        <v>1320200</v>
      </c>
      <c r="G61" s="16">
        <v>440355</v>
      </c>
      <c r="H61" s="6">
        <v>13202</v>
      </c>
      <c r="I61" s="6">
        <v>264</v>
      </c>
      <c r="J61" s="6">
        <v>45</v>
      </c>
      <c r="K61" s="16">
        <v>80325</v>
      </c>
      <c r="L61" s="8">
        <v>-0.81759035323772866</v>
      </c>
      <c r="M61" s="9">
        <v>0.01</v>
      </c>
      <c r="N61" s="9">
        <v>1.999697015603696E-2</v>
      </c>
      <c r="O61" s="9">
        <v>0.17045454545454539</v>
      </c>
      <c r="P61" s="7">
        <v>1785</v>
      </c>
      <c r="Q61" s="7">
        <v>33.355173458566881</v>
      </c>
      <c r="R61" s="7">
        <v>1668.011363636364</v>
      </c>
      <c r="S61" s="7">
        <v>9785.6666666666661</v>
      </c>
      <c r="T61" s="16">
        <v>-360030</v>
      </c>
      <c r="U61" t="s">
        <v>23</v>
      </c>
      <c r="V61" t="s">
        <v>24</v>
      </c>
      <c r="W61" t="s">
        <v>28</v>
      </c>
      <c r="X61" t="b">
        <f t="shared" si="0"/>
        <v>1</v>
      </c>
    </row>
    <row r="62" spans="1:24" x14ac:dyDescent="0.3">
      <c r="A62" s="6">
        <v>232</v>
      </c>
      <c r="B62" s="11">
        <v>44249</v>
      </c>
      <c r="C62" t="s">
        <v>21</v>
      </c>
      <c r="D62" t="s">
        <v>22</v>
      </c>
      <c r="E62" s="6">
        <v>349043</v>
      </c>
      <c r="F62" s="6">
        <v>605386</v>
      </c>
      <c r="G62" s="16">
        <v>59710</v>
      </c>
      <c r="H62" s="6">
        <v>4802</v>
      </c>
      <c r="I62" s="6">
        <v>96</v>
      </c>
      <c r="J62" s="6">
        <v>12</v>
      </c>
      <c r="K62" s="16">
        <v>67632</v>
      </c>
      <c r="L62" s="8">
        <v>0.1326745938703735</v>
      </c>
      <c r="M62" s="9">
        <v>7.9321292530715945E-3</v>
      </c>
      <c r="N62" s="9">
        <v>1.999167013744273E-2</v>
      </c>
      <c r="O62" s="9">
        <v>0.125</v>
      </c>
      <c r="P62" s="7">
        <v>5636</v>
      </c>
      <c r="Q62" s="7">
        <v>12.43440233236152</v>
      </c>
      <c r="R62" s="7">
        <v>621.97916666666663</v>
      </c>
      <c r="S62" s="7">
        <v>4975.833333333333</v>
      </c>
      <c r="T62" s="16">
        <v>7922</v>
      </c>
      <c r="U62" t="s">
        <v>23</v>
      </c>
      <c r="V62" t="s">
        <v>24</v>
      </c>
      <c r="W62" t="s">
        <v>25</v>
      </c>
      <c r="X62" t="b">
        <f t="shared" si="0"/>
        <v>1</v>
      </c>
    </row>
    <row r="63" spans="1:24" x14ac:dyDescent="0.3">
      <c r="A63" s="6">
        <v>233</v>
      </c>
      <c r="B63" s="11">
        <v>44249</v>
      </c>
      <c r="C63" t="s">
        <v>21</v>
      </c>
      <c r="D63" t="s">
        <v>22</v>
      </c>
      <c r="E63" s="6">
        <v>348934</v>
      </c>
      <c r="F63" s="6">
        <v>2090371</v>
      </c>
      <c r="G63" s="16">
        <v>95536.2</v>
      </c>
      <c r="H63" s="6">
        <v>6606</v>
      </c>
      <c r="I63" s="6">
        <v>132</v>
      </c>
      <c r="J63" s="6">
        <v>14</v>
      </c>
      <c r="K63" s="16">
        <v>69734</v>
      </c>
      <c r="L63" s="8">
        <v>-0.27007772969827137</v>
      </c>
      <c r="M63" s="9">
        <v>3.1602045761254822E-3</v>
      </c>
      <c r="N63" s="9">
        <v>1.998183469573115E-2</v>
      </c>
      <c r="O63" s="9">
        <v>0.10606060606060611</v>
      </c>
      <c r="P63" s="7">
        <v>4981</v>
      </c>
      <c r="Q63" s="7">
        <v>14.462034514078111</v>
      </c>
      <c r="R63" s="7">
        <v>723.7590909090909</v>
      </c>
      <c r="S63" s="7">
        <v>6824.0142857142864</v>
      </c>
      <c r="T63" s="16">
        <v>-25802.2</v>
      </c>
      <c r="U63" t="s">
        <v>23</v>
      </c>
      <c r="V63" t="s">
        <v>24</v>
      </c>
      <c r="W63" t="s">
        <v>26</v>
      </c>
      <c r="X63" t="b">
        <f t="shared" si="0"/>
        <v>1</v>
      </c>
    </row>
    <row r="64" spans="1:24" x14ac:dyDescent="0.3">
      <c r="A64" s="6">
        <v>239</v>
      </c>
      <c r="B64" s="11">
        <v>44249</v>
      </c>
      <c r="C64" t="s">
        <v>21</v>
      </c>
      <c r="D64" t="s">
        <v>22</v>
      </c>
      <c r="E64" s="6">
        <v>4387490</v>
      </c>
      <c r="F64" s="6">
        <v>17821</v>
      </c>
      <c r="G64" s="16">
        <v>5792.48</v>
      </c>
      <c r="H64" s="6">
        <v>598</v>
      </c>
      <c r="I64" s="6">
        <v>12</v>
      </c>
      <c r="J64" s="6">
        <v>3</v>
      </c>
      <c r="K64" s="16">
        <v>12168</v>
      </c>
      <c r="L64" s="8">
        <v>1.100654641880507</v>
      </c>
      <c r="M64" s="9">
        <v>3.3555917176364962E-2</v>
      </c>
      <c r="N64" s="9">
        <v>2.006688963210702E-2</v>
      </c>
      <c r="O64" s="9">
        <v>0.25</v>
      </c>
      <c r="P64" s="7">
        <v>4056</v>
      </c>
      <c r="Q64" s="7">
        <v>9.6864214046822728</v>
      </c>
      <c r="R64" s="7">
        <v>482.70666666666659</v>
      </c>
      <c r="S64" s="7">
        <v>1930.8266666666671</v>
      </c>
      <c r="T64" s="16">
        <v>6375.52</v>
      </c>
      <c r="U64" t="s">
        <v>23</v>
      </c>
      <c r="V64" t="s">
        <v>24</v>
      </c>
      <c r="W64" t="s">
        <v>27</v>
      </c>
      <c r="X64" t="b">
        <f t="shared" si="0"/>
        <v>1</v>
      </c>
    </row>
    <row r="65" spans="1:24" x14ac:dyDescent="0.3">
      <c r="A65" s="6">
        <v>240</v>
      </c>
      <c r="B65" s="11">
        <v>44249</v>
      </c>
      <c r="C65" t="s">
        <v>21</v>
      </c>
      <c r="D65" t="s">
        <v>22</v>
      </c>
      <c r="E65" s="6">
        <v>544756</v>
      </c>
      <c r="F65" s="6">
        <v>239600</v>
      </c>
      <c r="G65" s="16">
        <v>51783.3</v>
      </c>
      <c r="H65" s="6">
        <v>2396</v>
      </c>
      <c r="I65" s="6">
        <v>48</v>
      </c>
      <c r="J65" s="6">
        <v>6</v>
      </c>
      <c r="K65" s="16">
        <v>5886</v>
      </c>
      <c r="L65" s="8">
        <v>-0.88633401115803745</v>
      </c>
      <c r="M65" s="9">
        <v>0.01</v>
      </c>
      <c r="N65" s="9">
        <v>2.003338898163606E-2</v>
      </c>
      <c r="O65" s="9">
        <v>0.125</v>
      </c>
      <c r="P65" s="7">
        <v>981</v>
      </c>
      <c r="Q65" s="7">
        <v>21.612395659432391</v>
      </c>
      <c r="R65" s="7">
        <v>1078.8187499999999</v>
      </c>
      <c r="S65" s="7">
        <v>8630.5500000000011</v>
      </c>
      <c r="T65" s="16">
        <v>-45897.3</v>
      </c>
      <c r="U65" t="s">
        <v>23</v>
      </c>
      <c r="V65" t="s">
        <v>24</v>
      </c>
      <c r="W65" t="s">
        <v>28</v>
      </c>
      <c r="X65" t="b">
        <f t="shared" si="0"/>
        <v>1</v>
      </c>
    </row>
    <row r="66" spans="1:24" x14ac:dyDescent="0.3">
      <c r="A66" s="6">
        <v>243</v>
      </c>
      <c r="B66" s="11">
        <v>44250</v>
      </c>
      <c r="C66" t="s">
        <v>29</v>
      </c>
      <c r="D66" t="s">
        <v>22</v>
      </c>
      <c r="E66" s="6">
        <v>349043</v>
      </c>
      <c r="F66" s="6">
        <v>924525</v>
      </c>
      <c r="G66" s="16">
        <v>9858.2800000000007</v>
      </c>
      <c r="H66" s="6">
        <v>1203</v>
      </c>
      <c r="I66" s="6">
        <v>28</v>
      </c>
      <c r="J66" s="6">
        <v>2</v>
      </c>
      <c r="K66" s="16">
        <v>9962</v>
      </c>
      <c r="L66" s="8">
        <v>1.052110510149837E-2</v>
      </c>
      <c r="M66" s="9">
        <v>1.301208728806685E-3</v>
      </c>
      <c r="N66" s="9">
        <v>2.3275145469659191E-2</v>
      </c>
      <c r="O66" s="9">
        <v>7.1428571428571425E-2</v>
      </c>
      <c r="P66" s="7">
        <v>4981</v>
      </c>
      <c r="Q66" s="7">
        <v>8.1947464671654195</v>
      </c>
      <c r="R66" s="7">
        <v>352.0814285714286</v>
      </c>
      <c r="S66" s="7">
        <v>4929.1400000000003</v>
      </c>
      <c r="T66" s="16">
        <v>103.7199999999993</v>
      </c>
      <c r="U66" t="s">
        <v>23</v>
      </c>
      <c r="V66" t="s">
        <v>24</v>
      </c>
      <c r="W66" t="s">
        <v>25</v>
      </c>
      <c r="X66" t="b">
        <f t="shared" ref="X66:X129" si="1">NOT(AND(G66=0,K66&gt;1000000))</f>
        <v>1</v>
      </c>
    </row>
    <row r="67" spans="1:24" x14ac:dyDescent="0.3">
      <c r="A67" s="6">
        <v>244</v>
      </c>
      <c r="B67" s="11">
        <v>44250</v>
      </c>
      <c r="C67" t="s">
        <v>29</v>
      </c>
      <c r="D67" t="s">
        <v>22</v>
      </c>
      <c r="E67" s="6">
        <v>348934</v>
      </c>
      <c r="F67" s="6">
        <v>475992</v>
      </c>
      <c r="G67" s="16">
        <v>19350</v>
      </c>
      <c r="H67" s="6">
        <v>1641</v>
      </c>
      <c r="I67" s="6">
        <v>37</v>
      </c>
      <c r="J67" s="6">
        <v>3</v>
      </c>
      <c r="K67" s="16">
        <v>12225</v>
      </c>
      <c r="L67" s="8">
        <v>-0.36821705426356588</v>
      </c>
      <c r="M67" s="9">
        <v>3.447536933393839E-3</v>
      </c>
      <c r="N67" s="9">
        <v>2.2547227300426569E-2</v>
      </c>
      <c r="O67" s="9">
        <v>8.1081081081081086E-2</v>
      </c>
      <c r="P67" s="7">
        <v>4075</v>
      </c>
      <c r="Q67" s="7">
        <v>11.791590493601459</v>
      </c>
      <c r="R67" s="7">
        <v>522.97297297297303</v>
      </c>
      <c r="S67" s="7">
        <v>6450</v>
      </c>
      <c r="T67" s="16">
        <v>-7125</v>
      </c>
      <c r="U67" t="s">
        <v>23</v>
      </c>
      <c r="V67" t="s">
        <v>24</v>
      </c>
      <c r="W67" t="s">
        <v>26</v>
      </c>
      <c r="X67" t="b">
        <f t="shared" si="1"/>
        <v>1</v>
      </c>
    </row>
    <row r="68" spans="1:24" x14ac:dyDescent="0.3">
      <c r="A68" s="6">
        <v>250</v>
      </c>
      <c r="B68" s="11">
        <v>44250</v>
      </c>
      <c r="C68" t="s">
        <v>29</v>
      </c>
      <c r="D68" t="s">
        <v>22</v>
      </c>
      <c r="E68" s="6">
        <v>4387490</v>
      </c>
      <c r="F68" s="6">
        <v>4908</v>
      </c>
      <c r="G68" s="16">
        <v>1238.0899999999999</v>
      </c>
      <c r="H68" s="6">
        <v>155</v>
      </c>
      <c r="I68" s="6">
        <v>3</v>
      </c>
      <c r="J68" s="6">
        <v>1</v>
      </c>
      <c r="K68" s="16">
        <v>5265</v>
      </c>
      <c r="L68" s="8">
        <v>3.252517991422271</v>
      </c>
      <c r="M68" s="9">
        <v>3.1581092094539527E-2</v>
      </c>
      <c r="N68" s="9">
        <v>1.935483870967742E-2</v>
      </c>
      <c r="O68" s="9">
        <v>0.33333333333333331</v>
      </c>
      <c r="P68" s="7">
        <v>5265</v>
      </c>
      <c r="Q68" s="7">
        <v>7.9876774193548394</v>
      </c>
      <c r="R68" s="7">
        <v>412.69666666666672</v>
      </c>
      <c r="S68" s="7">
        <v>1238.0899999999999</v>
      </c>
      <c r="T68" s="16">
        <v>4026.91</v>
      </c>
      <c r="U68" t="s">
        <v>23</v>
      </c>
      <c r="V68" t="s">
        <v>24</v>
      </c>
      <c r="W68" t="s">
        <v>27</v>
      </c>
      <c r="X68" t="b">
        <f t="shared" si="1"/>
        <v>1</v>
      </c>
    </row>
    <row r="69" spans="1:24" x14ac:dyDescent="0.3">
      <c r="A69" s="6">
        <v>251</v>
      </c>
      <c r="B69" s="11">
        <v>44250</v>
      </c>
      <c r="C69" t="s">
        <v>29</v>
      </c>
      <c r="D69" t="s">
        <v>22</v>
      </c>
      <c r="E69" s="6">
        <v>544756</v>
      </c>
      <c r="F69" s="6">
        <v>60800</v>
      </c>
      <c r="G69" s="16">
        <v>16078.6</v>
      </c>
      <c r="H69" s="6">
        <v>608</v>
      </c>
      <c r="I69" s="6">
        <v>12</v>
      </c>
      <c r="J69" s="6">
        <v>2</v>
      </c>
      <c r="K69" s="16">
        <v>2720</v>
      </c>
      <c r="L69" s="8">
        <v>-0.83083104250370055</v>
      </c>
      <c r="M69" s="9">
        <v>0.01</v>
      </c>
      <c r="N69" s="9">
        <v>1.973684210526316E-2</v>
      </c>
      <c r="O69" s="9">
        <v>0.16666666666666671</v>
      </c>
      <c r="P69" s="7">
        <v>1360</v>
      </c>
      <c r="Q69" s="7">
        <v>26.445065789473681</v>
      </c>
      <c r="R69" s="7">
        <v>1339.883333333333</v>
      </c>
      <c r="S69" s="7">
        <v>8039.3</v>
      </c>
      <c r="T69" s="16">
        <v>-13358.6</v>
      </c>
      <c r="U69" t="s">
        <v>23</v>
      </c>
      <c r="V69" t="s">
        <v>24</v>
      </c>
      <c r="W69" t="s">
        <v>28</v>
      </c>
      <c r="X69" t="b">
        <f t="shared" si="1"/>
        <v>1</v>
      </c>
    </row>
    <row r="70" spans="1:24" x14ac:dyDescent="0.3">
      <c r="A70" s="6">
        <v>254</v>
      </c>
      <c r="B70" s="11">
        <v>44251</v>
      </c>
      <c r="C70" t="s">
        <v>30</v>
      </c>
      <c r="D70" t="s">
        <v>22</v>
      </c>
      <c r="E70" s="6">
        <v>349043</v>
      </c>
      <c r="F70" s="6">
        <v>479596</v>
      </c>
      <c r="G70" s="16">
        <v>94564.2</v>
      </c>
      <c r="H70" s="6">
        <v>2408</v>
      </c>
      <c r="I70" s="6">
        <v>93</v>
      </c>
      <c r="J70" s="6">
        <v>15</v>
      </c>
      <c r="K70" s="16">
        <v>81825</v>
      </c>
      <c r="L70" s="8">
        <v>-0.13471482865608761</v>
      </c>
      <c r="M70" s="9">
        <v>5.0208925845920318E-3</v>
      </c>
      <c r="N70" s="9">
        <v>3.8621262458471757E-2</v>
      </c>
      <c r="O70" s="9">
        <v>0.16129032258064521</v>
      </c>
      <c r="P70" s="7">
        <v>5455</v>
      </c>
      <c r="Q70" s="7">
        <v>39.270847176079727</v>
      </c>
      <c r="R70" s="7">
        <v>1016.81935483871</v>
      </c>
      <c r="S70" s="7">
        <v>6304.28</v>
      </c>
      <c r="T70" s="16">
        <v>-12739.2</v>
      </c>
      <c r="U70" t="s">
        <v>23</v>
      </c>
      <c r="V70" t="s">
        <v>24</v>
      </c>
      <c r="W70" t="s">
        <v>25</v>
      </c>
      <c r="X70" t="b">
        <f t="shared" si="1"/>
        <v>1</v>
      </c>
    </row>
    <row r="71" spans="1:24" x14ac:dyDescent="0.3">
      <c r="A71" s="6">
        <v>255</v>
      </c>
      <c r="B71" s="11">
        <v>44251</v>
      </c>
      <c r="C71" t="s">
        <v>30</v>
      </c>
      <c r="D71" t="s">
        <v>22</v>
      </c>
      <c r="E71" s="6">
        <v>348934</v>
      </c>
      <c r="F71" s="6">
        <v>395127</v>
      </c>
      <c r="G71" s="16">
        <v>44347.199999999997</v>
      </c>
      <c r="H71" s="6">
        <v>3297</v>
      </c>
      <c r="I71" s="6">
        <v>66</v>
      </c>
      <c r="J71" s="6">
        <v>7</v>
      </c>
      <c r="K71" s="16">
        <v>34867</v>
      </c>
      <c r="L71" s="8">
        <v>-0.21377223364722009</v>
      </c>
      <c r="M71" s="9">
        <v>8.3441526395310883E-3</v>
      </c>
      <c r="N71" s="9">
        <v>2.001819836214741E-2</v>
      </c>
      <c r="O71" s="9">
        <v>0.10606060606060611</v>
      </c>
      <c r="P71" s="7">
        <v>4981</v>
      </c>
      <c r="Q71" s="7">
        <v>13.45077343039126</v>
      </c>
      <c r="R71" s="7">
        <v>671.92727272727268</v>
      </c>
      <c r="S71" s="7">
        <v>6335.3142857142857</v>
      </c>
      <c r="T71" s="16">
        <v>-9480.1999999999971</v>
      </c>
      <c r="U71" t="s">
        <v>23</v>
      </c>
      <c r="V71" t="s">
        <v>24</v>
      </c>
      <c r="W71" t="s">
        <v>26</v>
      </c>
      <c r="X71" t="b">
        <f t="shared" si="1"/>
        <v>1</v>
      </c>
    </row>
    <row r="72" spans="1:24" x14ac:dyDescent="0.3">
      <c r="A72" s="6">
        <v>261</v>
      </c>
      <c r="B72" s="11">
        <v>44251</v>
      </c>
      <c r="C72" t="s">
        <v>30</v>
      </c>
      <c r="D72" t="s">
        <v>22</v>
      </c>
      <c r="E72" s="6">
        <v>4387490</v>
      </c>
      <c r="F72" s="6">
        <v>8966</v>
      </c>
      <c r="G72" s="16">
        <v>2857.1</v>
      </c>
      <c r="H72" s="6">
        <v>297</v>
      </c>
      <c r="I72" s="6">
        <v>6</v>
      </c>
      <c r="J72" s="6">
        <v>1</v>
      </c>
      <c r="K72" s="16">
        <v>4981</v>
      </c>
      <c r="L72" s="8">
        <v>0.7433761506422597</v>
      </c>
      <c r="M72" s="9">
        <v>3.3125139415569931E-2</v>
      </c>
      <c r="N72" s="9">
        <v>2.02020202020202E-2</v>
      </c>
      <c r="O72" s="9">
        <v>0.16666666666666671</v>
      </c>
      <c r="P72" s="7">
        <v>4981</v>
      </c>
      <c r="Q72" s="7">
        <v>9.619865319865319</v>
      </c>
      <c r="R72" s="7">
        <v>476.18333333333328</v>
      </c>
      <c r="S72" s="7">
        <v>2857.1</v>
      </c>
      <c r="T72" s="16">
        <v>2123.9</v>
      </c>
      <c r="U72" t="s">
        <v>23</v>
      </c>
      <c r="V72" t="s">
        <v>24</v>
      </c>
      <c r="W72" t="s">
        <v>27</v>
      </c>
      <c r="X72" t="b">
        <f t="shared" si="1"/>
        <v>1</v>
      </c>
    </row>
    <row r="73" spans="1:24" x14ac:dyDescent="0.3">
      <c r="A73" s="6">
        <v>262</v>
      </c>
      <c r="B73" s="11">
        <v>44251</v>
      </c>
      <c r="C73" t="s">
        <v>30</v>
      </c>
      <c r="D73" t="s">
        <v>22</v>
      </c>
      <c r="E73" s="6">
        <v>544756</v>
      </c>
      <c r="F73" s="6">
        <v>148794</v>
      </c>
      <c r="G73" s="16">
        <v>48796.6</v>
      </c>
      <c r="H73" s="6">
        <v>1196</v>
      </c>
      <c r="I73" s="6">
        <v>38</v>
      </c>
      <c r="J73" s="6">
        <v>6</v>
      </c>
      <c r="K73" s="16">
        <v>8178</v>
      </c>
      <c r="L73" s="8">
        <v>-0.83240635618055359</v>
      </c>
      <c r="M73" s="9">
        <v>8.0379585198327892E-3</v>
      </c>
      <c r="N73" s="9">
        <v>3.177257525083612E-2</v>
      </c>
      <c r="O73" s="9">
        <v>0.15789473684210531</v>
      </c>
      <c r="P73" s="7">
        <v>1363</v>
      </c>
      <c r="Q73" s="7">
        <v>40.799832775919732</v>
      </c>
      <c r="R73" s="7">
        <v>1284.121052631579</v>
      </c>
      <c r="S73" s="7">
        <v>8132.7666666666664</v>
      </c>
      <c r="T73" s="16">
        <v>-40618.6</v>
      </c>
      <c r="U73" t="s">
        <v>23</v>
      </c>
      <c r="V73" t="s">
        <v>24</v>
      </c>
      <c r="W73" t="s">
        <v>28</v>
      </c>
      <c r="X73" t="b">
        <f t="shared" si="1"/>
        <v>1</v>
      </c>
    </row>
    <row r="74" spans="1:24" x14ac:dyDescent="0.3">
      <c r="A74" s="6">
        <v>265</v>
      </c>
      <c r="B74" s="11">
        <v>44252</v>
      </c>
      <c r="C74" t="s">
        <v>31</v>
      </c>
      <c r="D74" t="s">
        <v>22</v>
      </c>
      <c r="E74" s="6">
        <v>349043</v>
      </c>
      <c r="F74" s="6">
        <v>94600</v>
      </c>
      <c r="G74" s="16">
        <v>11230.2</v>
      </c>
      <c r="H74" s="6">
        <v>473</v>
      </c>
      <c r="I74" s="6">
        <v>15</v>
      </c>
      <c r="J74" s="6">
        <v>2</v>
      </c>
      <c r="K74" s="16">
        <v>10104</v>
      </c>
      <c r="L74" s="8">
        <v>-0.1002831650371321</v>
      </c>
      <c r="M74" s="9">
        <v>5.0000000000000001E-3</v>
      </c>
      <c r="N74" s="9">
        <v>3.1712473572938688E-2</v>
      </c>
      <c r="O74" s="9">
        <v>0.1333333333333333</v>
      </c>
      <c r="P74" s="7">
        <v>5052</v>
      </c>
      <c r="Q74" s="7">
        <v>23.742494714587739</v>
      </c>
      <c r="R74" s="7">
        <v>748.68000000000006</v>
      </c>
      <c r="S74" s="7">
        <v>5615.1</v>
      </c>
      <c r="T74" s="16">
        <v>-1126.200000000001</v>
      </c>
      <c r="U74" t="s">
        <v>23</v>
      </c>
      <c r="V74" t="s">
        <v>24</v>
      </c>
      <c r="W74" t="s">
        <v>25</v>
      </c>
      <c r="X74" t="b">
        <f t="shared" si="1"/>
        <v>1</v>
      </c>
    </row>
    <row r="75" spans="1:24" x14ac:dyDescent="0.3">
      <c r="A75" s="6">
        <v>266</v>
      </c>
      <c r="B75" s="11">
        <v>44252</v>
      </c>
      <c r="C75" t="s">
        <v>31</v>
      </c>
      <c r="D75" t="s">
        <v>22</v>
      </c>
      <c r="E75" s="6">
        <v>348934</v>
      </c>
      <c r="F75" s="6">
        <v>131400</v>
      </c>
      <c r="G75" s="16">
        <v>10357</v>
      </c>
      <c r="H75" s="6">
        <v>657</v>
      </c>
      <c r="I75" s="6">
        <v>13</v>
      </c>
      <c r="J75" s="6">
        <v>2</v>
      </c>
      <c r="K75" s="16">
        <v>9962</v>
      </c>
      <c r="L75" s="8">
        <v>-3.8138457082166649E-2</v>
      </c>
      <c r="M75" s="9">
        <v>5.0000000000000001E-3</v>
      </c>
      <c r="N75" s="9">
        <v>1.9786910197869101E-2</v>
      </c>
      <c r="O75" s="9">
        <v>0.15384615384615391</v>
      </c>
      <c r="P75" s="7">
        <v>4981</v>
      </c>
      <c r="Q75" s="7">
        <v>15.764079147640791</v>
      </c>
      <c r="R75" s="7">
        <v>796.69230769230774</v>
      </c>
      <c r="S75" s="7">
        <v>5178.5</v>
      </c>
      <c r="T75" s="16">
        <v>-395</v>
      </c>
      <c r="U75" t="s">
        <v>23</v>
      </c>
      <c r="V75" t="s">
        <v>24</v>
      </c>
      <c r="W75" t="s">
        <v>26</v>
      </c>
      <c r="X75" t="b">
        <f t="shared" si="1"/>
        <v>1</v>
      </c>
    </row>
    <row r="76" spans="1:24" x14ac:dyDescent="0.3">
      <c r="A76" s="6">
        <v>272</v>
      </c>
      <c r="B76" s="11">
        <v>44252</v>
      </c>
      <c r="C76" t="s">
        <v>31</v>
      </c>
      <c r="D76" t="s">
        <v>22</v>
      </c>
      <c r="E76" s="6">
        <v>4387490</v>
      </c>
      <c r="F76" s="6">
        <v>2214</v>
      </c>
      <c r="G76" s="16">
        <v>1487.47</v>
      </c>
      <c r="H76" s="6">
        <v>66</v>
      </c>
      <c r="I76" s="6">
        <v>3</v>
      </c>
      <c r="J76" s="6">
        <v>1</v>
      </c>
      <c r="K76" s="16">
        <v>4461</v>
      </c>
      <c r="L76" s="8">
        <v>1.999052081722656</v>
      </c>
      <c r="M76" s="9">
        <v>2.9810298102981029E-2</v>
      </c>
      <c r="N76" s="9">
        <v>4.5454545454545463E-2</v>
      </c>
      <c r="O76" s="9">
        <v>0.33333333333333331</v>
      </c>
      <c r="P76" s="7">
        <v>4461</v>
      </c>
      <c r="Q76" s="7">
        <v>22.53742424242424</v>
      </c>
      <c r="R76" s="7">
        <v>495.82333333333332</v>
      </c>
      <c r="S76" s="7">
        <v>1487.47</v>
      </c>
      <c r="T76" s="16">
        <v>2973.53</v>
      </c>
      <c r="U76" t="s">
        <v>23</v>
      </c>
      <c r="V76" t="s">
        <v>24</v>
      </c>
      <c r="W76" t="s">
        <v>27</v>
      </c>
      <c r="X76" t="b">
        <f t="shared" si="1"/>
        <v>1</v>
      </c>
    </row>
    <row r="77" spans="1:24" x14ac:dyDescent="0.3">
      <c r="A77" s="6">
        <v>273</v>
      </c>
      <c r="B77" s="11">
        <v>44252</v>
      </c>
      <c r="C77" t="s">
        <v>31</v>
      </c>
      <c r="D77" t="s">
        <v>22</v>
      </c>
      <c r="E77" s="6">
        <v>544756</v>
      </c>
      <c r="F77" s="6">
        <v>25000</v>
      </c>
      <c r="G77" s="16">
        <v>5871.29</v>
      </c>
      <c r="H77" s="6">
        <v>250</v>
      </c>
      <c r="I77" s="6">
        <v>5</v>
      </c>
      <c r="J77" s="6">
        <v>1</v>
      </c>
      <c r="K77" s="16">
        <v>981</v>
      </c>
      <c r="L77" s="8">
        <v>-0.83291576467863115</v>
      </c>
      <c r="M77" s="9">
        <v>0.01</v>
      </c>
      <c r="N77" s="9">
        <v>0.02</v>
      </c>
      <c r="O77" s="9">
        <v>0.2</v>
      </c>
      <c r="P77" s="7">
        <v>981</v>
      </c>
      <c r="Q77" s="7">
        <v>23.48516</v>
      </c>
      <c r="R77" s="7">
        <v>1174.258</v>
      </c>
      <c r="S77" s="7">
        <v>5871.29</v>
      </c>
      <c r="T77" s="16">
        <v>-4890.29</v>
      </c>
      <c r="U77" t="s">
        <v>23</v>
      </c>
      <c r="V77" t="s">
        <v>24</v>
      </c>
      <c r="W77" t="s">
        <v>28</v>
      </c>
      <c r="X77" t="b">
        <f t="shared" si="1"/>
        <v>1</v>
      </c>
    </row>
    <row r="78" spans="1:24" x14ac:dyDescent="0.3">
      <c r="A78" s="6">
        <v>276</v>
      </c>
      <c r="B78" s="11">
        <v>44253</v>
      </c>
      <c r="C78" t="s">
        <v>32</v>
      </c>
      <c r="D78" t="s">
        <v>22</v>
      </c>
      <c r="E78" s="6">
        <v>349043</v>
      </c>
      <c r="F78" s="6">
        <v>168408</v>
      </c>
      <c r="G78" s="16">
        <v>19887.7</v>
      </c>
      <c r="H78" s="6">
        <v>1207</v>
      </c>
      <c r="I78" s="6">
        <v>39</v>
      </c>
      <c r="J78" s="6">
        <v>4</v>
      </c>
      <c r="K78" s="16">
        <v>22488</v>
      </c>
      <c r="L78" s="8">
        <v>0.1307491565138251</v>
      </c>
      <c r="M78" s="9">
        <v>7.1671179516412534E-3</v>
      </c>
      <c r="N78" s="9">
        <v>3.2311516155758079E-2</v>
      </c>
      <c r="O78" s="9">
        <v>0.1025641025641026</v>
      </c>
      <c r="P78" s="7">
        <v>5622</v>
      </c>
      <c r="Q78" s="7">
        <v>16.47696768848385</v>
      </c>
      <c r="R78" s="7">
        <v>509.94102564102559</v>
      </c>
      <c r="S78" s="7">
        <v>4971.9250000000002</v>
      </c>
      <c r="T78" s="16">
        <v>2600.2999999999988</v>
      </c>
      <c r="U78" t="s">
        <v>23</v>
      </c>
      <c r="V78" t="s">
        <v>24</v>
      </c>
      <c r="W78" t="s">
        <v>25</v>
      </c>
      <c r="X78" t="b">
        <f t="shared" si="1"/>
        <v>1</v>
      </c>
    </row>
    <row r="79" spans="1:24" x14ac:dyDescent="0.3">
      <c r="A79" s="6">
        <v>277</v>
      </c>
      <c r="B79" s="11">
        <v>44253</v>
      </c>
      <c r="C79" t="s">
        <v>32</v>
      </c>
      <c r="D79" t="s">
        <v>22</v>
      </c>
      <c r="E79" s="6">
        <v>348934</v>
      </c>
      <c r="F79" s="6">
        <v>438858</v>
      </c>
      <c r="G79" s="16">
        <v>17935.400000000001</v>
      </c>
      <c r="H79" s="6">
        <v>1657</v>
      </c>
      <c r="I79" s="6">
        <v>33</v>
      </c>
      <c r="J79" s="6">
        <v>3</v>
      </c>
      <c r="K79" s="16">
        <v>15345</v>
      </c>
      <c r="L79" s="8">
        <v>-0.1444294523679428</v>
      </c>
      <c r="M79" s="9">
        <v>3.7757087714021388E-3</v>
      </c>
      <c r="N79" s="9">
        <v>1.9915509957754981E-2</v>
      </c>
      <c r="O79" s="9">
        <v>9.0909090909090912E-2</v>
      </c>
      <c r="P79" s="7">
        <v>5115</v>
      </c>
      <c r="Q79" s="7">
        <v>10.824019312009661</v>
      </c>
      <c r="R79" s="7">
        <v>543.4969696969697</v>
      </c>
      <c r="S79" s="7">
        <v>5978.4666666666672</v>
      </c>
      <c r="T79" s="16">
        <v>-2590.400000000001</v>
      </c>
      <c r="U79" t="s">
        <v>23</v>
      </c>
      <c r="V79" t="s">
        <v>24</v>
      </c>
      <c r="W79" t="s">
        <v>26</v>
      </c>
      <c r="X79" t="b">
        <f t="shared" si="1"/>
        <v>1</v>
      </c>
    </row>
    <row r="80" spans="1:24" x14ac:dyDescent="0.3">
      <c r="A80" s="6">
        <v>283</v>
      </c>
      <c r="B80" s="11">
        <v>44253</v>
      </c>
      <c r="C80" t="s">
        <v>32</v>
      </c>
      <c r="D80" t="s">
        <v>22</v>
      </c>
      <c r="E80" s="6">
        <v>4387490</v>
      </c>
      <c r="F80" s="6">
        <v>4906</v>
      </c>
      <c r="G80" s="16">
        <v>1071.1600000000001</v>
      </c>
      <c r="H80" s="6">
        <v>143</v>
      </c>
      <c r="I80" s="6">
        <v>3</v>
      </c>
      <c r="J80" s="6">
        <v>1</v>
      </c>
      <c r="K80" s="16">
        <v>4981</v>
      </c>
      <c r="L80" s="8">
        <v>3.6500989581388401</v>
      </c>
      <c r="M80" s="9">
        <v>2.914798206278027E-2</v>
      </c>
      <c r="N80" s="9">
        <v>2.097902097902098E-2</v>
      </c>
      <c r="O80" s="9">
        <v>0.33333333333333331</v>
      </c>
      <c r="P80" s="7">
        <v>4981</v>
      </c>
      <c r="Q80" s="7">
        <v>7.490629370629371</v>
      </c>
      <c r="R80" s="7">
        <v>357.05333333333328</v>
      </c>
      <c r="S80" s="7">
        <v>1071.1600000000001</v>
      </c>
      <c r="T80" s="16">
        <v>3909.84</v>
      </c>
      <c r="U80" t="s">
        <v>23</v>
      </c>
      <c r="V80" t="s">
        <v>24</v>
      </c>
      <c r="W80" t="s">
        <v>27</v>
      </c>
      <c r="X80" t="b">
        <f t="shared" si="1"/>
        <v>1</v>
      </c>
    </row>
    <row r="81" spans="1:24" x14ac:dyDescent="0.3">
      <c r="A81" s="6">
        <v>284</v>
      </c>
      <c r="B81" s="11">
        <v>44253</v>
      </c>
      <c r="C81" t="s">
        <v>32</v>
      </c>
      <c r="D81" t="s">
        <v>22</v>
      </c>
      <c r="E81" s="6">
        <v>544756</v>
      </c>
      <c r="F81" s="6">
        <v>55269</v>
      </c>
      <c r="G81" s="16">
        <v>315.92</v>
      </c>
      <c r="H81" s="6">
        <v>610</v>
      </c>
      <c r="I81" s="6">
        <v>0</v>
      </c>
      <c r="J81" s="6">
        <v>0</v>
      </c>
      <c r="K81" s="16">
        <v>0</v>
      </c>
      <c r="L81" s="8">
        <v>0</v>
      </c>
      <c r="M81" s="9">
        <v>1.10369284770848E-2</v>
      </c>
      <c r="N81" s="9">
        <v>0</v>
      </c>
      <c r="O81" s="9">
        <v>0</v>
      </c>
      <c r="P81" s="7">
        <v>0</v>
      </c>
      <c r="Q81" s="7">
        <v>0.51790163934426237</v>
      </c>
      <c r="R81" s="7">
        <v>0</v>
      </c>
      <c r="S81" s="7">
        <v>0</v>
      </c>
      <c r="T81" s="16">
        <v>0</v>
      </c>
      <c r="U81" t="s">
        <v>23</v>
      </c>
      <c r="V81" t="s">
        <v>24</v>
      </c>
      <c r="W81" t="s">
        <v>28</v>
      </c>
      <c r="X81" t="b">
        <f t="shared" si="1"/>
        <v>1</v>
      </c>
    </row>
    <row r="82" spans="1:24" x14ac:dyDescent="0.3">
      <c r="A82" s="6">
        <v>56</v>
      </c>
      <c r="B82" s="11">
        <v>44233</v>
      </c>
      <c r="C82" t="s">
        <v>33</v>
      </c>
      <c r="D82" t="s">
        <v>22</v>
      </c>
      <c r="E82" s="6">
        <v>349043</v>
      </c>
      <c r="F82" s="6">
        <v>310024</v>
      </c>
      <c r="G82" s="16">
        <v>40407.9</v>
      </c>
      <c r="H82" s="6">
        <v>2391</v>
      </c>
      <c r="I82" s="6">
        <v>76</v>
      </c>
      <c r="J82" s="6">
        <v>9</v>
      </c>
      <c r="K82" s="16">
        <v>46152</v>
      </c>
      <c r="L82" s="8">
        <v>0.1421528958446244</v>
      </c>
      <c r="M82" s="9">
        <v>7.7123061440404614E-3</v>
      </c>
      <c r="N82" s="9">
        <v>3.1785863655374322E-2</v>
      </c>
      <c r="O82" s="9">
        <v>0.1184210526315789</v>
      </c>
      <c r="P82" s="7">
        <v>5128</v>
      </c>
      <c r="Q82" s="7">
        <v>16.899999999999999</v>
      </c>
      <c r="R82" s="7">
        <v>531.68289473684217</v>
      </c>
      <c r="S82" s="7">
        <v>4489.7666666666664</v>
      </c>
      <c r="T82" s="16">
        <v>5744.0999999999995</v>
      </c>
      <c r="U82" t="s">
        <v>34</v>
      </c>
      <c r="V82" t="s">
        <v>24</v>
      </c>
      <c r="W82" t="s">
        <v>25</v>
      </c>
      <c r="X82" t="b">
        <f t="shared" si="1"/>
        <v>1</v>
      </c>
    </row>
    <row r="83" spans="1:24" x14ac:dyDescent="0.3">
      <c r="A83" s="6">
        <v>57</v>
      </c>
      <c r="B83" s="11">
        <v>44233</v>
      </c>
      <c r="C83" t="s">
        <v>33</v>
      </c>
      <c r="D83" t="s">
        <v>22</v>
      </c>
      <c r="E83" s="6">
        <v>348934</v>
      </c>
      <c r="F83" s="6">
        <v>448321</v>
      </c>
      <c r="G83" s="16">
        <v>62272.6</v>
      </c>
      <c r="H83" s="6">
        <v>3302</v>
      </c>
      <c r="I83" s="6">
        <v>108</v>
      </c>
      <c r="J83" s="6">
        <v>9</v>
      </c>
      <c r="K83" s="16">
        <v>44829</v>
      </c>
      <c r="L83" s="8">
        <v>-0.28011677688100378</v>
      </c>
      <c r="M83" s="9">
        <v>7.3652583751374571E-3</v>
      </c>
      <c r="N83" s="9">
        <v>3.2707450030284677E-2</v>
      </c>
      <c r="O83" s="9">
        <v>8.3333333333333329E-2</v>
      </c>
      <c r="P83" s="7">
        <v>4981</v>
      </c>
      <c r="Q83" s="7">
        <v>18.859055118110231</v>
      </c>
      <c r="R83" s="7">
        <v>576.59814814814808</v>
      </c>
      <c r="S83" s="7">
        <v>6919.1777777777779</v>
      </c>
      <c r="T83" s="16">
        <v>-17443.599999999999</v>
      </c>
      <c r="U83" t="s">
        <v>34</v>
      </c>
      <c r="V83" t="s">
        <v>24</v>
      </c>
      <c r="W83" t="s">
        <v>26</v>
      </c>
      <c r="X83" t="b">
        <f t="shared" si="1"/>
        <v>1</v>
      </c>
    </row>
    <row r="84" spans="1:24" x14ac:dyDescent="0.3">
      <c r="A84" s="6">
        <v>63</v>
      </c>
      <c r="B84" s="11">
        <v>44233</v>
      </c>
      <c r="C84" t="s">
        <v>33</v>
      </c>
      <c r="D84" t="s">
        <v>22</v>
      </c>
      <c r="E84" s="6">
        <v>4387490</v>
      </c>
      <c r="F84" s="6">
        <v>10200</v>
      </c>
      <c r="G84" s="16">
        <v>1420.15</v>
      </c>
      <c r="H84" s="6">
        <v>306</v>
      </c>
      <c r="I84" s="6">
        <v>6</v>
      </c>
      <c r="J84" s="6">
        <v>1</v>
      </c>
      <c r="K84" s="16">
        <v>5492</v>
      </c>
      <c r="L84" s="8">
        <v>2.867197127064042</v>
      </c>
      <c r="M84" s="9">
        <v>0.03</v>
      </c>
      <c r="N84" s="9">
        <v>1.9607843137254902E-2</v>
      </c>
      <c r="O84" s="9">
        <v>0.16666666666666671</v>
      </c>
      <c r="P84" s="7">
        <v>5492</v>
      </c>
      <c r="Q84" s="7">
        <v>4.6410130718954248</v>
      </c>
      <c r="R84" s="7">
        <v>236.69166666666669</v>
      </c>
      <c r="S84" s="7">
        <v>1420.15</v>
      </c>
      <c r="T84" s="16">
        <v>4071.85</v>
      </c>
      <c r="U84" t="s">
        <v>34</v>
      </c>
      <c r="V84" t="s">
        <v>24</v>
      </c>
      <c r="W84" t="s">
        <v>27</v>
      </c>
      <c r="X84" t="b">
        <f t="shared" si="1"/>
        <v>1</v>
      </c>
    </row>
    <row r="85" spans="1:24" x14ac:dyDescent="0.3">
      <c r="A85" s="6">
        <v>64</v>
      </c>
      <c r="B85" s="11">
        <v>44233</v>
      </c>
      <c r="C85" t="s">
        <v>33</v>
      </c>
      <c r="D85" t="s">
        <v>22</v>
      </c>
      <c r="E85" s="6">
        <v>544756</v>
      </c>
      <c r="F85" s="6">
        <v>119700</v>
      </c>
      <c r="G85" s="16">
        <v>29281</v>
      </c>
      <c r="H85" s="6">
        <v>1197</v>
      </c>
      <c r="I85" s="6">
        <v>24</v>
      </c>
      <c r="J85" s="6">
        <v>4</v>
      </c>
      <c r="K85" s="16">
        <v>6428</v>
      </c>
      <c r="L85" s="8">
        <v>-0.78047197841603766</v>
      </c>
      <c r="M85" s="9">
        <v>0.01</v>
      </c>
      <c r="N85" s="9">
        <v>2.005012531328321E-2</v>
      </c>
      <c r="O85" s="9">
        <v>0.16666666666666671</v>
      </c>
      <c r="P85" s="7">
        <v>1607</v>
      </c>
      <c r="Q85" s="7">
        <v>24.46198830409357</v>
      </c>
      <c r="R85" s="7">
        <v>1220.041666666667</v>
      </c>
      <c r="S85" s="7">
        <v>7320.25</v>
      </c>
      <c r="T85" s="16">
        <v>-22853</v>
      </c>
      <c r="U85" t="s">
        <v>34</v>
      </c>
      <c r="V85" t="s">
        <v>24</v>
      </c>
      <c r="W85" t="s">
        <v>28</v>
      </c>
      <c r="X85" t="b">
        <f t="shared" si="1"/>
        <v>1</v>
      </c>
    </row>
    <row r="86" spans="1:24" x14ac:dyDescent="0.3">
      <c r="A86" s="6">
        <v>67</v>
      </c>
      <c r="B86" s="11">
        <v>44234</v>
      </c>
      <c r="C86" t="s">
        <v>35</v>
      </c>
      <c r="D86" t="s">
        <v>22</v>
      </c>
      <c r="E86" s="6">
        <v>349043</v>
      </c>
      <c r="F86" s="6">
        <v>478000</v>
      </c>
      <c r="G86" s="16">
        <v>27314.400000000001</v>
      </c>
      <c r="H86" s="6">
        <v>2390</v>
      </c>
      <c r="I86" s="6">
        <v>45</v>
      </c>
      <c r="J86" s="6">
        <v>5</v>
      </c>
      <c r="K86" s="16">
        <v>24905</v>
      </c>
      <c r="L86" s="8">
        <v>-8.8209881967021106E-2</v>
      </c>
      <c r="M86" s="9">
        <v>5.0000000000000001E-3</v>
      </c>
      <c r="N86" s="9">
        <v>1.8828451882845189E-2</v>
      </c>
      <c r="O86" s="9">
        <v>0.1111111111111111</v>
      </c>
      <c r="P86" s="7">
        <v>4981</v>
      </c>
      <c r="Q86" s="7">
        <v>11.428619246861929</v>
      </c>
      <c r="R86" s="7">
        <v>606.98666666666668</v>
      </c>
      <c r="S86" s="7">
        <v>5462.88</v>
      </c>
      <c r="T86" s="16">
        <v>-2409.400000000001</v>
      </c>
      <c r="U86" t="s">
        <v>34</v>
      </c>
      <c r="V86" t="s">
        <v>24</v>
      </c>
      <c r="W86" t="s">
        <v>25</v>
      </c>
      <c r="X86" t="b">
        <f t="shared" si="1"/>
        <v>1</v>
      </c>
    </row>
    <row r="87" spans="1:24" x14ac:dyDescent="0.3">
      <c r="A87" s="6">
        <v>68</v>
      </c>
      <c r="B87" s="11">
        <v>44234</v>
      </c>
      <c r="C87" t="s">
        <v>35</v>
      </c>
      <c r="D87" t="s">
        <v>22</v>
      </c>
      <c r="E87" s="6">
        <v>348934</v>
      </c>
      <c r="F87" s="6">
        <v>659000</v>
      </c>
      <c r="G87" s="16">
        <v>38485.599999999999</v>
      </c>
      <c r="H87" s="6">
        <v>3295</v>
      </c>
      <c r="I87" s="6">
        <v>66</v>
      </c>
      <c r="J87" s="6">
        <v>5</v>
      </c>
      <c r="K87" s="16">
        <v>23735</v>
      </c>
      <c r="L87" s="8">
        <v>-0.38327582264535298</v>
      </c>
      <c r="M87" s="9">
        <v>5.0000000000000001E-3</v>
      </c>
      <c r="N87" s="9">
        <v>2.0030349013657061E-2</v>
      </c>
      <c r="O87" s="9">
        <v>7.575757575757576E-2</v>
      </c>
      <c r="P87" s="7">
        <v>4747</v>
      </c>
      <c r="Q87" s="7">
        <v>11.68</v>
      </c>
      <c r="R87" s="7">
        <v>583.11515151515152</v>
      </c>
      <c r="S87" s="7">
        <v>7697.12</v>
      </c>
      <c r="T87" s="16">
        <v>-14750.6</v>
      </c>
      <c r="U87" t="s">
        <v>34</v>
      </c>
      <c r="V87" t="s">
        <v>24</v>
      </c>
      <c r="W87" t="s">
        <v>26</v>
      </c>
      <c r="X87" t="b">
        <f t="shared" si="1"/>
        <v>1</v>
      </c>
    </row>
    <row r="88" spans="1:24" x14ac:dyDescent="0.3">
      <c r="A88" s="6">
        <v>74</v>
      </c>
      <c r="B88" s="11">
        <v>44234</v>
      </c>
      <c r="C88" t="s">
        <v>35</v>
      </c>
      <c r="D88" t="s">
        <v>22</v>
      </c>
      <c r="E88" s="6">
        <v>4387490</v>
      </c>
      <c r="F88" s="6">
        <v>9938</v>
      </c>
      <c r="G88" s="16">
        <v>3435.44</v>
      </c>
      <c r="H88" s="6">
        <v>294</v>
      </c>
      <c r="I88" s="6">
        <v>6</v>
      </c>
      <c r="J88" s="6">
        <v>1</v>
      </c>
      <c r="K88" s="16">
        <v>4981</v>
      </c>
      <c r="L88" s="8">
        <v>0.44988705959062009</v>
      </c>
      <c r="M88" s="9">
        <v>2.9583417186556649E-2</v>
      </c>
      <c r="N88" s="9">
        <v>2.0408163265306121E-2</v>
      </c>
      <c r="O88" s="9">
        <v>0.16666666666666671</v>
      </c>
      <c r="P88" s="7">
        <v>4981</v>
      </c>
      <c r="Q88" s="7">
        <v>11.68517006802721</v>
      </c>
      <c r="R88" s="7">
        <v>572.57333333333338</v>
      </c>
      <c r="S88" s="7">
        <v>3435.44</v>
      </c>
      <c r="T88" s="16">
        <v>1545.56</v>
      </c>
      <c r="U88" t="s">
        <v>34</v>
      </c>
      <c r="V88" t="s">
        <v>24</v>
      </c>
      <c r="W88" t="s">
        <v>27</v>
      </c>
      <c r="X88" t="b">
        <f t="shared" si="1"/>
        <v>1</v>
      </c>
    </row>
    <row r="89" spans="1:24" x14ac:dyDescent="0.3">
      <c r="A89" s="6">
        <v>75</v>
      </c>
      <c r="B89" s="11">
        <v>44234</v>
      </c>
      <c r="C89" t="s">
        <v>35</v>
      </c>
      <c r="D89" t="s">
        <v>22</v>
      </c>
      <c r="E89" s="6">
        <v>544756</v>
      </c>
      <c r="F89" s="6">
        <v>174221</v>
      </c>
      <c r="G89" s="16">
        <v>10104.9</v>
      </c>
      <c r="H89" s="6">
        <v>1197</v>
      </c>
      <c r="I89" s="6">
        <v>6</v>
      </c>
      <c r="J89" s="6">
        <v>1</v>
      </c>
      <c r="K89" s="16">
        <v>981</v>
      </c>
      <c r="L89" s="8">
        <v>-0.90291838612950148</v>
      </c>
      <c r="M89" s="9">
        <v>6.8705839135351074E-3</v>
      </c>
      <c r="N89" s="9">
        <v>5.0125313283208017E-3</v>
      </c>
      <c r="O89" s="9">
        <v>0.16666666666666671</v>
      </c>
      <c r="P89" s="7">
        <v>981</v>
      </c>
      <c r="Q89" s="7">
        <v>8.4418546365914793</v>
      </c>
      <c r="R89" s="7">
        <v>1684.15</v>
      </c>
      <c r="S89" s="7">
        <v>10104.9</v>
      </c>
      <c r="T89" s="16">
        <v>-9123.9</v>
      </c>
      <c r="U89" t="s">
        <v>34</v>
      </c>
      <c r="V89" t="s">
        <v>24</v>
      </c>
      <c r="W89" t="s">
        <v>28</v>
      </c>
      <c r="X89" t="b">
        <f t="shared" si="1"/>
        <v>1</v>
      </c>
    </row>
    <row r="90" spans="1:24" x14ac:dyDescent="0.3">
      <c r="A90" s="6">
        <v>133</v>
      </c>
      <c r="B90" s="11">
        <v>44240</v>
      </c>
      <c r="C90" t="s">
        <v>33</v>
      </c>
      <c r="D90" t="s">
        <v>22</v>
      </c>
      <c r="E90" s="6">
        <v>349043</v>
      </c>
      <c r="F90" s="6">
        <v>1496322</v>
      </c>
      <c r="G90" s="16">
        <v>308692</v>
      </c>
      <c r="H90" s="6">
        <v>11990</v>
      </c>
      <c r="I90" s="6">
        <v>397</v>
      </c>
      <c r="J90" s="6">
        <v>60</v>
      </c>
      <c r="K90" s="16">
        <v>341880</v>
      </c>
      <c r="L90" s="8">
        <v>0.10751169450455469</v>
      </c>
      <c r="M90" s="9">
        <v>8.0129811631453659E-3</v>
      </c>
      <c r="N90" s="9">
        <v>3.311092577147623E-2</v>
      </c>
      <c r="O90" s="9">
        <v>0.15113350125944591</v>
      </c>
      <c r="P90" s="7">
        <v>5698</v>
      </c>
      <c r="Q90" s="7">
        <v>25.745788156797332</v>
      </c>
      <c r="R90" s="7">
        <v>777.56171284634763</v>
      </c>
      <c r="S90" s="7">
        <v>5144.8666666666668</v>
      </c>
      <c r="T90" s="16">
        <v>33188</v>
      </c>
      <c r="U90" t="s">
        <v>34</v>
      </c>
      <c r="V90" t="s">
        <v>24</v>
      </c>
      <c r="W90" t="s">
        <v>25</v>
      </c>
      <c r="X90" t="b">
        <f t="shared" si="1"/>
        <v>1</v>
      </c>
    </row>
    <row r="91" spans="1:24" x14ac:dyDescent="0.3">
      <c r="A91" s="6">
        <v>134</v>
      </c>
      <c r="B91" s="11">
        <v>44240</v>
      </c>
      <c r="C91" t="s">
        <v>33</v>
      </c>
      <c r="D91" t="s">
        <v>22</v>
      </c>
      <c r="E91" s="6">
        <v>348934</v>
      </c>
      <c r="F91" s="6">
        <v>2358224</v>
      </c>
      <c r="G91" s="16">
        <v>325444</v>
      </c>
      <c r="H91" s="6">
        <v>16506</v>
      </c>
      <c r="I91" s="6">
        <v>655</v>
      </c>
      <c r="J91" s="6">
        <v>52</v>
      </c>
      <c r="K91" s="16">
        <v>262184</v>
      </c>
      <c r="L91" s="8">
        <v>-0.19438060004178909</v>
      </c>
      <c r="M91" s="9">
        <v>6.9993350928495342E-3</v>
      </c>
      <c r="N91" s="9">
        <v>3.968253968253968E-2</v>
      </c>
      <c r="O91" s="9">
        <v>7.9389312977099238E-2</v>
      </c>
      <c r="P91" s="7">
        <v>5042</v>
      </c>
      <c r="Q91" s="7">
        <v>19.716709075487699</v>
      </c>
      <c r="R91" s="7">
        <v>496.86106870229008</v>
      </c>
      <c r="S91" s="7">
        <v>6258.5384615384619</v>
      </c>
      <c r="T91" s="16">
        <v>-63260</v>
      </c>
      <c r="U91" t="s">
        <v>34</v>
      </c>
      <c r="V91" t="s">
        <v>24</v>
      </c>
      <c r="W91" t="s">
        <v>26</v>
      </c>
      <c r="X91" t="b">
        <f t="shared" si="1"/>
        <v>1</v>
      </c>
    </row>
    <row r="92" spans="1:24" x14ac:dyDescent="0.3">
      <c r="A92" s="6">
        <v>140</v>
      </c>
      <c r="B92" s="11">
        <v>44240</v>
      </c>
      <c r="C92" t="s">
        <v>33</v>
      </c>
      <c r="D92" t="s">
        <v>22</v>
      </c>
      <c r="E92" s="6">
        <v>4387490</v>
      </c>
      <c r="F92" s="6">
        <v>50333</v>
      </c>
      <c r="G92" s="16">
        <v>8367.08</v>
      </c>
      <c r="H92" s="6">
        <v>1510</v>
      </c>
      <c r="I92" s="6">
        <v>19</v>
      </c>
      <c r="J92" s="6">
        <v>4</v>
      </c>
      <c r="K92" s="16">
        <v>18828</v>
      </c>
      <c r="L92" s="8">
        <v>1.2502473981365061</v>
      </c>
      <c r="M92" s="9">
        <v>3.0000198676812431E-2</v>
      </c>
      <c r="N92" s="9">
        <v>1.2582781456953639E-2</v>
      </c>
      <c r="O92" s="9">
        <v>0.2105263157894737</v>
      </c>
      <c r="P92" s="7">
        <v>4707</v>
      </c>
      <c r="Q92" s="7">
        <v>5.5411125827814569</v>
      </c>
      <c r="R92" s="7">
        <v>440.37263157894739</v>
      </c>
      <c r="S92" s="7">
        <v>2091.77</v>
      </c>
      <c r="T92" s="16">
        <v>10460.92</v>
      </c>
      <c r="U92" t="s">
        <v>34</v>
      </c>
      <c r="V92" t="s">
        <v>24</v>
      </c>
      <c r="W92" t="s">
        <v>27</v>
      </c>
      <c r="X92" t="b">
        <f t="shared" si="1"/>
        <v>1</v>
      </c>
    </row>
    <row r="93" spans="1:24" x14ac:dyDescent="0.3">
      <c r="A93" s="6">
        <v>141</v>
      </c>
      <c r="B93" s="11">
        <v>44240</v>
      </c>
      <c r="C93" t="s">
        <v>33</v>
      </c>
      <c r="D93" t="s">
        <v>22</v>
      </c>
      <c r="E93" s="6">
        <v>544756</v>
      </c>
      <c r="F93" s="6">
        <v>495013</v>
      </c>
      <c r="G93" s="16">
        <v>171332</v>
      </c>
      <c r="H93" s="6">
        <v>6006</v>
      </c>
      <c r="I93" s="6">
        <v>128</v>
      </c>
      <c r="J93" s="6">
        <v>19</v>
      </c>
      <c r="K93" s="16">
        <v>24035</v>
      </c>
      <c r="L93" s="8">
        <v>-0.8597168071346859</v>
      </c>
      <c r="M93" s="9">
        <v>1.2133014688503131E-2</v>
      </c>
      <c r="N93" s="9">
        <v>2.1312021312021309E-2</v>
      </c>
      <c r="O93" s="9">
        <v>0.1484375</v>
      </c>
      <c r="P93" s="7">
        <v>1265</v>
      </c>
      <c r="Q93" s="7">
        <v>28.526806526806531</v>
      </c>
      <c r="R93" s="7">
        <v>1338.53125</v>
      </c>
      <c r="S93" s="7">
        <v>9017.4736842105267</v>
      </c>
      <c r="T93" s="16">
        <v>-147297</v>
      </c>
      <c r="U93" t="s">
        <v>34</v>
      </c>
      <c r="V93" t="s">
        <v>24</v>
      </c>
      <c r="W93" t="s">
        <v>28</v>
      </c>
      <c r="X93" t="b">
        <f t="shared" si="1"/>
        <v>1</v>
      </c>
    </row>
    <row r="94" spans="1:24" x14ac:dyDescent="0.3">
      <c r="A94" s="6">
        <v>144</v>
      </c>
      <c r="B94" s="11">
        <v>44241</v>
      </c>
      <c r="C94" t="s">
        <v>35</v>
      </c>
      <c r="D94" t="s">
        <v>22</v>
      </c>
      <c r="E94" s="6">
        <v>349043</v>
      </c>
      <c r="F94" s="6">
        <v>2452315</v>
      </c>
      <c r="G94" s="16">
        <v>60244.9</v>
      </c>
      <c r="H94" s="6">
        <v>14406</v>
      </c>
      <c r="I94" s="6">
        <v>110</v>
      </c>
      <c r="J94" s="6">
        <v>14</v>
      </c>
      <c r="K94" s="16">
        <v>63560</v>
      </c>
      <c r="L94" s="8">
        <v>5.5027064531603477E-2</v>
      </c>
      <c r="M94" s="9">
        <v>5.8744492448971689E-3</v>
      </c>
      <c r="N94" s="9">
        <v>7.6357073441621548E-3</v>
      </c>
      <c r="O94" s="9">
        <v>0.12727272727272729</v>
      </c>
      <c r="P94" s="7">
        <v>4540</v>
      </c>
      <c r="Q94" s="7">
        <v>4.1819311398028596</v>
      </c>
      <c r="R94" s="7">
        <v>547.68090909090915</v>
      </c>
      <c r="S94" s="7">
        <v>4303.2071428571426</v>
      </c>
      <c r="T94" s="16">
        <v>3315.099999999999</v>
      </c>
      <c r="U94" t="s">
        <v>34</v>
      </c>
      <c r="V94" t="s">
        <v>24</v>
      </c>
      <c r="W94" t="s">
        <v>25</v>
      </c>
      <c r="X94" t="b">
        <f t="shared" si="1"/>
        <v>1</v>
      </c>
    </row>
    <row r="95" spans="1:24" x14ac:dyDescent="0.3">
      <c r="A95" s="6">
        <v>145</v>
      </c>
      <c r="B95" s="11">
        <v>44241</v>
      </c>
      <c r="C95" t="s">
        <v>35</v>
      </c>
      <c r="D95" t="s">
        <v>22</v>
      </c>
      <c r="E95" s="6">
        <v>348934</v>
      </c>
      <c r="F95" s="6">
        <v>7936534</v>
      </c>
      <c r="G95" s="16">
        <v>197948</v>
      </c>
      <c r="H95" s="6">
        <v>19797</v>
      </c>
      <c r="I95" s="6">
        <v>396</v>
      </c>
      <c r="J95" s="6">
        <v>30</v>
      </c>
      <c r="K95" s="16">
        <v>149430</v>
      </c>
      <c r="L95" s="8">
        <v>-0.24510477499141189</v>
      </c>
      <c r="M95" s="9">
        <v>2.4944138083450528E-3</v>
      </c>
      <c r="N95" s="9">
        <v>2.0003030762236699E-2</v>
      </c>
      <c r="O95" s="9">
        <v>7.575757575757576E-2</v>
      </c>
      <c r="P95" s="7">
        <v>4981</v>
      </c>
      <c r="Q95" s="7">
        <v>9.9988887205132091</v>
      </c>
      <c r="R95" s="7">
        <v>499.86868686868689</v>
      </c>
      <c r="S95" s="7">
        <v>6598.2666666666664</v>
      </c>
      <c r="T95" s="16">
        <v>-48518</v>
      </c>
      <c r="U95" t="s">
        <v>34</v>
      </c>
      <c r="V95" t="s">
        <v>24</v>
      </c>
      <c r="W95" t="s">
        <v>26</v>
      </c>
      <c r="X95" t="b">
        <f t="shared" si="1"/>
        <v>1</v>
      </c>
    </row>
    <row r="96" spans="1:24" x14ac:dyDescent="0.3">
      <c r="A96" s="6">
        <v>151</v>
      </c>
      <c r="B96" s="11">
        <v>44241</v>
      </c>
      <c r="C96" t="s">
        <v>35</v>
      </c>
      <c r="D96" t="s">
        <v>22</v>
      </c>
      <c r="E96" s="6">
        <v>4387490</v>
      </c>
      <c r="F96" s="6">
        <v>55495</v>
      </c>
      <c r="G96" s="16">
        <v>4764.34</v>
      </c>
      <c r="H96" s="6">
        <v>1790</v>
      </c>
      <c r="I96" s="6">
        <v>10</v>
      </c>
      <c r="J96" s="6">
        <v>2</v>
      </c>
      <c r="K96" s="16">
        <v>10902</v>
      </c>
      <c r="L96" s="8">
        <v>1.2882497890578759</v>
      </c>
      <c r="M96" s="9">
        <v>3.2255158122353363E-2</v>
      </c>
      <c r="N96" s="9">
        <v>5.5865921787709499E-3</v>
      </c>
      <c r="O96" s="9">
        <v>0.2</v>
      </c>
      <c r="P96" s="7">
        <v>5451</v>
      </c>
      <c r="Q96" s="7">
        <v>2.6616424581005589</v>
      </c>
      <c r="R96" s="7">
        <v>476.43400000000003</v>
      </c>
      <c r="S96" s="7">
        <v>2382.17</v>
      </c>
      <c r="T96" s="16">
        <v>6137.66</v>
      </c>
      <c r="U96" t="s">
        <v>34</v>
      </c>
      <c r="V96" t="s">
        <v>24</v>
      </c>
      <c r="W96" t="s">
        <v>27</v>
      </c>
      <c r="X96" t="b">
        <f t="shared" si="1"/>
        <v>1</v>
      </c>
    </row>
    <row r="97" spans="1:24" x14ac:dyDescent="0.3">
      <c r="A97" s="6">
        <v>152</v>
      </c>
      <c r="B97" s="11">
        <v>44241</v>
      </c>
      <c r="C97" t="s">
        <v>35</v>
      </c>
      <c r="D97" t="s">
        <v>22</v>
      </c>
      <c r="E97" s="6">
        <v>544756</v>
      </c>
      <c r="F97" s="6">
        <v>605220</v>
      </c>
      <c r="G97" s="16">
        <v>170719</v>
      </c>
      <c r="H97" s="6">
        <v>7205</v>
      </c>
      <c r="I97" s="6">
        <v>142</v>
      </c>
      <c r="J97" s="6">
        <v>21</v>
      </c>
      <c r="K97" s="16">
        <v>14280</v>
      </c>
      <c r="L97" s="8">
        <v>-0.91635377433091803</v>
      </c>
      <c r="M97" s="9">
        <v>1.1904761904761901E-2</v>
      </c>
      <c r="N97" s="9">
        <v>1.9708535739070089E-2</v>
      </c>
      <c r="O97" s="9">
        <v>0.147887323943662</v>
      </c>
      <c r="P97" s="7">
        <v>680</v>
      </c>
      <c r="Q97" s="7">
        <v>23.694517696044411</v>
      </c>
      <c r="R97" s="7">
        <v>1202.24647887324</v>
      </c>
      <c r="S97" s="7">
        <v>8129.4761904761908</v>
      </c>
      <c r="T97" s="16">
        <v>-156439</v>
      </c>
      <c r="U97" t="s">
        <v>34</v>
      </c>
      <c r="V97" t="s">
        <v>24</v>
      </c>
      <c r="W97" t="s">
        <v>28</v>
      </c>
      <c r="X97" t="b">
        <f t="shared" si="1"/>
        <v>1</v>
      </c>
    </row>
    <row r="98" spans="1:24" x14ac:dyDescent="0.3">
      <c r="A98" s="6">
        <v>210</v>
      </c>
      <c r="B98" s="11">
        <v>44247</v>
      </c>
      <c r="C98" t="s">
        <v>33</v>
      </c>
      <c r="D98" t="s">
        <v>22</v>
      </c>
      <c r="E98" s="6">
        <v>349043</v>
      </c>
      <c r="F98" s="6">
        <v>9916906</v>
      </c>
      <c r="G98" s="16">
        <v>56874.2</v>
      </c>
      <c r="H98" s="6">
        <v>28796</v>
      </c>
      <c r="I98" s="6">
        <v>88</v>
      </c>
      <c r="J98" s="6">
        <v>12</v>
      </c>
      <c r="K98" s="16">
        <v>59772</v>
      </c>
      <c r="L98" s="8">
        <v>5.0951046344388191E-2</v>
      </c>
      <c r="M98" s="9">
        <v>2.9037282394327418E-3</v>
      </c>
      <c r="N98" s="9">
        <v>3.0559799972218358E-3</v>
      </c>
      <c r="O98" s="9">
        <v>0.13636363636363641</v>
      </c>
      <c r="P98" s="7">
        <v>4981</v>
      </c>
      <c r="Q98" s="7">
        <v>1.9750729267953879</v>
      </c>
      <c r="R98" s="7">
        <v>646.29772727272723</v>
      </c>
      <c r="S98" s="7">
        <v>4739.5166666666664</v>
      </c>
      <c r="T98" s="16">
        <v>2897.8000000000029</v>
      </c>
      <c r="U98" t="s">
        <v>34</v>
      </c>
      <c r="V98" t="s">
        <v>24</v>
      </c>
      <c r="W98" t="s">
        <v>25</v>
      </c>
      <c r="X98" t="b">
        <f t="shared" si="1"/>
        <v>1</v>
      </c>
    </row>
    <row r="99" spans="1:24" x14ac:dyDescent="0.3">
      <c r="A99" s="6">
        <v>211</v>
      </c>
      <c r="B99" s="11">
        <v>44247</v>
      </c>
      <c r="C99" t="s">
        <v>33</v>
      </c>
      <c r="D99" t="s">
        <v>22</v>
      </c>
      <c r="E99" s="6">
        <v>348934</v>
      </c>
      <c r="F99" s="6">
        <v>7918600</v>
      </c>
      <c r="G99" s="16">
        <v>455831</v>
      </c>
      <c r="H99" s="6">
        <v>39593</v>
      </c>
      <c r="I99" s="6">
        <v>853</v>
      </c>
      <c r="J99" s="6">
        <v>68</v>
      </c>
      <c r="K99" s="16">
        <v>387124</v>
      </c>
      <c r="L99" s="8">
        <v>-0.15072910793693281</v>
      </c>
      <c r="M99" s="9">
        <v>5.0000000000000001E-3</v>
      </c>
      <c r="N99" s="9">
        <v>2.154421236077084E-2</v>
      </c>
      <c r="O99" s="9">
        <v>7.9718640093786639E-2</v>
      </c>
      <c r="P99" s="7">
        <v>5693</v>
      </c>
      <c r="Q99" s="7">
        <v>11.5129189503195</v>
      </c>
      <c r="R99" s="7">
        <v>534.38569753810077</v>
      </c>
      <c r="S99" s="7">
        <v>6703.3970588235297</v>
      </c>
      <c r="T99" s="16">
        <v>-68707</v>
      </c>
      <c r="U99" t="s">
        <v>34</v>
      </c>
      <c r="V99" t="s">
        <v>24</v>
      </c>
      <c r="W99" t="s">
        <v>26</v>
      </c>
      <c r="X99" t="b">
        <f t="shared" si="1"/>
        <v>1</v>
      </c>
    </row>
    <row r="100" spans="1:24" x14ac:dyDescent="0.3">
      <c r="A100" s="6">
        <v>217</v>
      </c>
      <c r="B100" s="11">
        <v>44247</v>
      </c>
      <c r="C100" t="s">
        <v>33</v>
      </c>
      <c r="D100" t="s">
        <v>22</v>
      </c>
      <c r="E100" s="6">
        <v>4387490</v>
      </c>
      <c r="F100" s="6">
        <v>111784</v>
      </c>
      <c r="G100" s="16">
        <v>73587.5</v>
      </c>
      <c r="H100" s="6">
        <v>3594</v>
      </c>
      <c r="I100" s="6">
        <v>116</v>
      </c>
      <c r="J100" s="6">
        <v>24</v>
      </c>
      <c r="K100" s="16">
        <v>119544</v>
      </c>
      <c r="L100" s="8">
        <v>0.62451503312383216</v>
      </c>
      <c r="M100" s="9">
        <v>3.2151291776998499E-2</v>
      </c>
      <c r="N100" s="9">
        <v>3.2276015581524757E-2</v>
      </c>
      <c r="O100" s="9">
        <v>0.2068965517241379</v>
      </c>
      <c r="P100" s="7">
        <v>4981</v>
      </c>
      <c r="Q100" s="7">
        <v>20.475097384529771</v>
      </c>
      <c r="R100" s="7">
        <v>634.375</v>
      </c>
      <c r="S100" s="7">
        <v>3066.145833333333</v>
      </c>
      <c r="T100" s="16">
        <v>45956.5</v>
      </c>
      <c r="U100" t="s">
        <v>34</v>
      </c>
      <c r="V100" t="s">
        <v>24</v>
      </c>
      <c r="W100" t="s">
        <v>27</v>
      </c>
      <c r="X100" t="b">
        <f t="shared" si="1"/>
        <v>1</v>
      </c>
    </row>
    <row r="101" spans="1:24" x14ac:dyDescent="0.3">
      <c r="A101" s="6">
        <v>218</v>
      </c>
      <c r="B101" s="11">
        <v>44247</v>
      </c>
      <c r="C101" t="s">
        <v>33</v>
      </c>
      <c r="D101" t="s">
        <v>22</v>
      </c>
      <c r="E101" s="6">
        <v>544756</v>
      </c>
      <c r="F101" s="6">
        <v>1118531</v>
      </c>
      <c r="G101" s="16">
        <v>173041</v>
      </c>
      <c r="H101" s="6">
        <v>14399</v>
      </c>
      <c r="I101" s="6">
        <v>113</v>
      </c>
      <c r="J101" s="6">
        <v>18</v>
      </c>
      <c r="K101" s="16">
        <v>17658</v>
      </c>
      <c r="L101" s="8">
        <v>-0.89795481995596416</v>
      </c>
      <c r="M101" s="9">
        <v>1.2873134495154809E-2</v>
      </c>
      <c r="N101" s="9">
        <v>7.8477672060559764E-3</v>
      </c>
      <c r="O101" s="9">
        <v>0.15929203539823009</v>
      </c>
      <c r="P101" s="7">
        <v>981</v>
      </c>
      <c r="Q101" s="7">
        <v>12.01757066462949</v>
      </c>
      <c r="R101" s="7">
        <v>1531.336283185841</v>
      </c>
      <c r="S101" s="7">
        <v>9613.3888888888887</v>
      </c>
      <c r="T101" s="16">
        <v>-155383</v>
      </c>
      <c r="U101" t="s">
        <v>34</v>
      </c>
      <c r="V101" t="s">
        <v>24</v>
      </c>
      <c r="W101" t="s">
        <v>28</v>
      </c>
      <c r="X101" t="b">
        <f t="shared" si="1"/>
        <v>1</v>
      </c>
    </row>
    <row r="102" spans="1:24" x14ac:dyDescent="0.3">
      <c r="A102" s="6">
        <v>221</v>
      </c>
      <c r="B102" s="11">
        <v>44248</v>
      </c>
      <c r="C102" t="s">
        <v>35</v>
      </c>
      <c r="D102" t="s">
        <v>22</v>
      </c>
      <c r="E102" s="6">
        <v>349043</v>
      </c>
      <c r="F102" s="6">
        <v>478600</v>
      </c>
      <c r="G102" s="16">
        <v>38596.699999999997</v>
      </c>
      <c r="H102" s="6">
        <v>2393</v>
      </c>
      <c r="I102" s="6">
        <v>66</v>
      </c>
      <c r="J102" s="6">
        <v>7</v>
      </c>
      <c r="K102" s="16">
        <v>31094</v>
      </c>
      <c r="L102" s="8">
        <v>-0.1943870849062225</v>
      </c>
      <c r="M102" s="9">
        <v>5.0000000000000001E-3</v>
      </c>
      <c r="N102" s="9">
        <v>2.7580442958629339E-2</v>
      </c>
      <c r="O102" s="9">
        <v>0.10606060606060611</v>
      </c>
      <c r="P102" s="7">
        <v>4442</v>
      </c>
      <c r="Q102" s="7">
        <v>16.129001253656501</v>
      </c>
      <c r="R102" s="7">
        <v>584.7984848484848</v>
      </c>
      <c r="S102" s="7">
        <v>5513.8142857142857</v>
      </c>
      <c r="T102" s="16">
        <v>-7502.6999999999971</v>
      </c>
      <c r="U102" t="s">
        <v>34</v>
      </c>
      <c r="V102" t="s">
        <v>24</v>
      </c>
      <c r="W102" t="s">
        <v>25</v>
      </c>
      <c r="X102" t="b">
        <f t="shared" si="1"/>
        <v>1</v>
      </c>
    </row>
    <row r="103" spans="1:24" x14ac:dyDescent="0.3">
      <c r="A103" s="6">
        <v>222</v>
      </c>
      <c r="B103" s="11">
        <v>44248</v>
      </c>
      <c r="C103" t="s">
        <v>35</v>
      </c>
      <c r="D103" t="s">
        <v>22</v>
      </c>
      <c r="E103" s="6">
        <v>348934</v>
      </c>
      <c r="F103" s="6">
        <v>543787</v>
      </c>
      <c r="G103" s="16">
        <v>39481</v>
      </c>
      <c r="H103" s="6">
        <v>3299</v>
      </c>
      <c r="I103" s="6">
        <v>113</v>
      </c>
      <c r="J103" s="6">
        <v>6</v>
      </c>
      <c r="K103" s="16">
        <v>29538</v>
      </c>
      <c r="L103" s="8">
        <v>-0.25184265849395909</v>
      </c>
      <c r="M103" s="9">
        <v>6.0667136213259972E-3</v>
      </c>
      <c r="N103" s="9">
        <v>3.4252803879963628E-2</v>
      </c>
      <c r="O103" s="9">
        <v>5.3097345132743362E-2</v>
      </c>
      <c r="P103" s="7">
        <v>4923</v>
      </c>
      <c r="Q103" s="7">
        <v>11.967565929069419</v>
      </c>
      <c r="R103" s="7">
        <v>349.38938053097343</v>
      </c>
      <c r="S103" s="7">
        <v>6580.166666666667</v>
      </c>
      <c r="T103" s="16">
        <v>-9943</v>
      </c>
      <c r="U103" t="s">
        <v>34</v>
      </c>
      <c r="V103" t="s">
        <v>24</v>
      </c>
      <c r="W103" t="s">
        <v>26</v>
      </c>
      <c r="X103" t="b">
        <f t="shared" si="1"/>
        <v>1</v>
      </c>
    </row>
    <row r="104" spans="1:24" x14ac:dyDescent="0.3">
      <c r="A104" s="6">
        <v>228</v>
      </c>
      <c r="B104" s="11">
        <v>44248</v>
      </c>
      <c r="C104" t="s">
        <v>35</v>
      </c>
      <c r="D104" t="s">
        <v>22</v>
      </c>
      <c r="E104" s="6">
        <v>4387490</v>
      </c>
      <c r="F104" s="6">
        <v>10812</v>
      </c>
      <c r="G104" s="16">
        <v>1555.96</v>
      </c>
      <c r="H104" s="6">
        <v>296</v>
      </c>
      <c r="I104" s="6">
        <v>3</v>
      </c>
      <c r="J104" s="6">
        <v>1</v>
      </c>
      <c r="K104" s="16">
        <v>3993</v>
      </c>
      <c r="L104" s="8">
        <v>1.5662613434792669</v>
      </c>
      <c r="M104" s="9">
        <v>2.737698853126156E-2</v>
      </c>
      <c r="N104" s="9">
        <v>1.0135135135135139E-2</v>
      </c>
      <c r="O104" s="9">
        <v>0.33333333333333331</v>
      </c>
      <c r="P104" s="7">
        <v>3993</v>
      </c>
      <c r="Q104" s="7">
        <v>5.2566216216216217</v>
      </c>
      <c r="R104" s="7">
        <v>518.65333333333331</v>
      </c>
      <c r="S104" s="7">
        <v>1555.96</v>
      </c>
      <c r="T104" s="16">
        <v>2437.04</v>
      </c>
      <c r="U104" t="s">
        <v>34</v>
      </c>
      <c r="V104" t="s">
        <v>24</v>
      </c>
      <c r="W104" t="s">
        <v>27</v>
      </c>
      <c r="X104" t="b">
        <f t="shared" si="1"/>
        <v>1</v>
      </c>
    </row>
    <row r="105" spans="1:24" x14ac:dyDescent="0.3">
      <c r="A105" s="6">
        <v>229</v>
      </c>
      <c r="B105" s="11">
        <v>44248</v>
      </c>
      <c r="C105" t="s">
        <v>35</v>
      </c>
      <c r="D105" t="s">
        <v>22</v>
      </c>
      <c r="E105" s="6">
        <v>544756</v>
      </c>
      <c r="F105" s="6">
        <v>119400</v>
      </c>
      <c r="G105" s="16">
        <v>32169.9</v>
      </c>
      <c r="H105" s="6">
        <v>1194</v>
      </c>
      <c r="I105" s="6">
        <v>24</v>
      </c>
      <c r="J105" s="6">
        <v>4</v>
      </c>
      <c r="K105" s="16">
        <v>3924</v>
      </c>
      <c r="L105" s="8">
        <v>-0.87802262363265038</v>
      </c>
      <c r="M105" s="9">
        <v>0.01</v>
      </c>
      <c r="N105" s="9">
        <v>2.0100502512562811E-2</v>
      </c>
      <c r="O105" s="9">
        <v>0.16666666666666671</v>
      </c>
      <c r="P105" s="7">
        <v>981</v>
      </c>
      <c r="Q105" s="7">
        <v>26.942964824120601</v>
      </c>
      <c r="R105" s="7">
        <v>1340.4124999999999</v>
      </c>
      <c r="S105" s="7">
        <v>8042.4750000000004</v>
      </c>
      <c r="T105" s="16">
        <v>-28245.9</v>
      </c>
      <c r="U105" t="s">
        <v>34</v>
      </c>
      <c r="V105" t="s">
        <v>24</v>
      </c>
      <c r="W105" t="s">
        <v>28</v>
      </c>
      <c r="X105" t="b">
        <f t="shared" si="1"/>
        <v>1</v>
      </c>
    </row>
    <row r="106" spans="1:24" x14ac:dyDescent="0.3">
      <c r="A106" s="6">
        <v>287</v>
      </c>
      <c r="B106" s="11">
        <v>44254</v>
      </c>
      <c r="C106" t="s">
        <v>33</v>
      </c>
      <c r="D106" t="s">
        <v>22</v>
      </c>
      <c r="E106" s="6">
        <v>349043</v>
      </c>
      <c r="F106" s="6">
        <v>213771</v>
      </c>
      <c r="G106" s="16">
        <v>5003.33</v>
      </c>
      <c r="H106" s="6">
        <v>241</v>
      </c>
      <c r="I106" s="6">
        <v>9</v>
      </c>
      <c r="J106" s="6">
        <v>1</v>
      </c>
      <c r="K106" s="16">
        <v>4223</v>
      </c>
      <c r="L106" s="8">
        <v>-0.15596212922193819</v>
      </c>
      <c r="M106" s="9">
        <v>1.1273746205051199E-3</v>
      </c>
      <c r="N106" s="9">
        <v>3.7344398340248962E-2</v>
      </c>
      <c r="O106" s="9">
        <v>0.1111111111111111</v>
      </c>
      <c r="P106" s="7">
        <v>4223</v>
      </c>
      <c r="Q106" s="7">
        <v>20.760705394190872</v>
      </c>
      <c r="R106" s="7">
        <v>555.92555555555555</v>
      </c>
      <c r="S106" s="7">
        <v>5003.33</v>
      </c>
      <c r="T106" s="16">
        <v>-780.32999999999993</v>
      </c>
      <c r="U106" t="s">
        <v>34</v>
      </c>
      <c r="V106" t="s">
        <v>24</v>
      </c>
      <c r="W106" t="s">
        <v>25</v>
      </c>
      <c r="X106" t="b">
        <f t="shared" si="1"/>
        <v>1</v>
      </c>
    </row>
    <row r="107" spans="1:24" x14ac:dyDescent="0.3">
      <c r="A107" s="6">
        <v>288</v>
      </c>
      <c r="B107" s="11">
        <v>44254</v>
      </c>
      <c r="C107" t="s">
        <v>33</v>
      </c>
      <c r="D107" t="s">
        <v>22</v>
      </c>
      <c r="E107" s="6">
        <v>348934</v>
      </c>
      <c r="F107" s="6">
        <v>66400</v>
      </c>
      <c r="G107" s="16">
        <v>3235.77</v>
      </c>
      <c r="H107" s="6">
        <v>332</v>
      </c>
      <c r="I107" s="6">
        <v>13</v>
      </c>
      <c r="J107" s="6">
        <v>0</v>
      </c>
      <c r="K107" s="16">
        <v>0</v>
      </c>
      <c r="L107" s="8">
        <v>0</v>
      </c>
      <c r="M107" s="9">
        <v>5.0000000000000001E-3</v>
      </c>
      <c r="N107" s="9">
        <v>3.9156626506024098E-2</v>
      </c>
      <c r="O107" s="9">
        <v>0</v>
      </c>
      <c r="P107" s="7">
        <v>0</v>
      </c>
      <c r="Q107" s="7">
        <v>9.7462951807228908</v>
      </c>
      <c r="R107" s="7">
        <v>248.90538461538461</v>
      </c>
      <c r="S107" s="7">
        <v>0</v>
      </c>
      <c r="T107" s="16">
        <v>0</v>
      </c>
      <c r="U107" t="s">
        <v>34</v>
      </c>
      <c r="V107" t="s">
        <v>24</v>
      </c>
      <c r="W107" t="s">
        <v>26</v>
      </c>
      <c r="X107" t="b">
        <f t="shared" si="1"/>
        <v>1</v>
      </c>
    </row>
    <row r="108" spans="1:24" x14ac:dyDescent="0.3">
      <c r="A108" s="6">
        <v>294</v>
      </c>
      <c r="B108" s="11">
        <v>44254</v>
      </c>
      <c r="C108" t="s">
        <v>33</v>
      </c>
      <c r="D108" t="s">
        <v>22</v>
      </c>
      <c r="E108" s="6">
        <v>4387490</v>
      </c>
      <c r="F108" s="6">
        <v>667</v>
      </c>
      <c r="G108" s="16">
        <v>200.42</v>
      </c>
      <c r="H108" s="6">
        <v>20</v>
      </c>
      <c r="I108" s="6">
        <v>0</v>
      </c>
      <c r="J108" s="6">
        <v>0</v>
      </c>
      <c r="K108" s="16">
        <v>0</v>
      </c>
      <c r="L108" s="8">
        <v>0</v>
      </c>
      <c r="M108" s="9">
        <v>2.998500749625187E-2</v>
      </c>
      <c r="N108" s="9">
        <v>0</v>
      </c>
      <c r="O108" s="9">
        <v>0</v>
      </c>
      <c r="P108" s="7">
        <v>0</v>
      </c>
      <c r="Q108" s="7">
        <v>10.021000000000001</v>
      </c>
      <c r="R108" s="7">
        <v>0</v>
      </c>
      <c r="S108" s="7">
        <v>0</v>
      </c>
      <c r="T108" s="16">
        <v>0</v>
      </c>
      <c r="U108" t="s">
        <v>34</v>
      </c>
      <c r="V108" t="s">
        <v>24</v>
      </c>
      <c r="W108" t="s">
        <v>27</v>
      </c>
      <c r="X108" t="b">
        <f t="shared" si="1"/>
        <v>1</v>
      </c>
    </row>
    <row r="109" spans="1:24" x14ac:dyDescent="0.3">
      <c r="A109" s="6">
        <v>295</v>
      </c>
      <c r="B109" s="11">
        <v>44254</v>
      </c>
      <c r="C109" t="s">
        <v>33</v>
      </c>
      <c r="D109" t="s">
        <v>22</v>
      </c>
      <c r="E109" s="6">
        <v>544756</v>
      </c>
      <c r="F109" s="6">
        <v>13693</v>
      </c>
      <c r="G109" s="16">
        <v>3098.45</v>
      </c>
      <c r="H109" s="6">
        <v>115</v>
      </c>
      <c r="I109" s="6">
        <v>2</v>
      </c>
      <c r="J109" s="6">
        <v>0</v>
      </c>
      <c r="K109" s="16">
        <v>0</v>
      </c>
      <c r="L109" s="8">
        <v>0</v>
      </c>
      <c r="M109" s="9">
        <v>8.3984517636748711E-3</v>
      </c>
      <c r="N109" s="9">
        <v>1.7391304347826091E-2</v>
      </c>
      <c r="O109" s="9">
        <v>0</v>
      </c>
      <c r="P109" s="7">
        <v>0</v>
      </c>
      <c r="Q109" s="7">
        <v>26.943043478260869</v>
      </c>
      <c r="R109" s="7">
        <v>1549.2249999999999</v>
      </c>
      <c r="S109" s="7">
        <v>0</v>
      </c>
      <c r="T109" s="16">
        <v>0</v>
      </c>
      <c r="U109" t="s">
        <v>34</v>
      </c>
      <c r="V109" t="s">
        <v>24</v>
      </c>
      <c r="W109" t="s">
        <v>28</v>
      </c>
      <c r="X109" t="b">
        <f t="shared" si="1"/>
        <v>1</v>
      </c>
    </row>
    <row r="110" spans="1:24" x14ac:dyDescent="0.3">
      <c r="A110" s="6">
        <v>298</v>
      </c>
      <c r="B110" s="11">
        <v>44255</v>
      </c>
      <c r="C110" t="s">
        <v>35</v>
      </c>
      <c r="D110" t="s">
        <v>22</v>
      </c>
      <c r="E110" s="6">
        <v>349043</v>
      </c>
      <c r="F110" s="6">
        <v>97200</v>
      </c>
      <c r="G110" s="16">
        <v>6440.5</v>
      </c>
      <c r="H110" s="6">
        <v>486</v>
      </c>
      <c r="I110" s="6">
        <v>11</v>
      </c>
      <c r="J110" s="6">
        <v>1</v>
      </c>
      <c r="K110" s="16">
        <v>4981</v>
      </c>
      <c r="L110" s="8">
        <v>-0.22661284061796441</v>
      </c>
      <c r="M110" s="9">
        <v>5.0000000000000001E-3</v>
      </c>
      <c r="N110" s="9">
        <v>2.2633744855967079E-2</v>
      </c>
      <c r="O110" s="9">
        <v>9.0909090909090912E-2</v>
      </c>
      <c r="P110" s="7">
        <v>4981</v>
      </c>
      <c r="Q110" s="7">
        <v>13.25205761316872</v>
      </c>
      <c r="R110" s="7">
        <v>585.5</v>
      </c>
      <c r="S110" s="7">
        <v>6440.5</v>
      </c>
      <c r="T110" s="16">
        <v>-1459.5</v>
      </c>
      <c r="U110" t="s">
        <v>34</v>
      </c>
      <c r="V110" t="s">
        <v>24</v>
      </c>
      <c r="W110" t="s">
        <v>25</v>
      </c>
      <c r="X110" t="b">
        <f t="shared" si="1"/>
        <v>1</v>
      </c>
    </row>
    <row r="111" spans="1:24" x14ac:dyDescent="0.3">
      <c r="A111" s="6">
        <v>299</v>
      </c>
      <c r="B111" s="11">
        <v>44255</v>
      </c>
      <c r="C111" t="s">
        <v>35</v>
      </c>
      <c r="D111" t="s">
        <v>22</v>
      </c>
      <c r="E111" s="6">
        <v>348934</v>
      </c>
      <c r="F111" s="6">
        <v>132200</v>
      </c>
      <c r="G111" s="16">
        <v>8665.5499999999993</v>
      </c>
      <c r="H111" s="6">
        <v>661</v>
      </c>
      <c r="I111" s="6">
        <v>13</v>
      </c>
      <c r="J111" s="6">
        <v>1</v>
      </c>
      <c r="K111" s="16">
        <v>5509</v>
      </c>
      <c r="L111" s="8">
        <v>-0.36426424173883942</v>
      </c>
      <c r="M111" s="9">
        <v>5.0000000000000001E-3</v>
      </c>
      <c r="N111" s="9">
        <v>1.9667170953101359E-2</v>
      </c>
      <c r="O111" s="9">
        <v>7.6923076923076927E-2</v>
      </c>
      <c r="P111" s="7">
        <v>5509</v>
      </c>
      <c r="Q111" s="7">
        <v>13.109757942511351</v>
      </c>
      <c r="R111" s="7">
        <v>666.58076923076919</v>
      </c>
      <c r="S111" s="7">
        <v>8665.5499999999993</v>
      </c>
      <c r="T111" s="16">
        <v>-3156.5499999999988</v>
      </c>
      <c r="U111" t="s">
        <v>34</v>
      </c>
      <c r="V111" t="s">
        <v>24</v>
      </c>
      <c r="W111" t="s">
        <v>26</v>
      </c>
      <c r="X111" t="b">
        <f t="shared" si="1"/>
        <v>1</v>
      </c>
    </row>
    <row r="112" spans="1:24" x14ac:dyDescent="0.3">
      <c r="A112" s="6">
        <v>305</v>
      </c>
      <c r="B112" s="11">
        <v>44255</v>
      </c>
      <c r="C112" t="s">
        <v>35</v>
      </c>
      <c r="D112" t="s">
        <v>22</v>
      </c>
      <c r="E112" s="6">
        <v>4387490</v>
      </c>
      <c r="F112" s="6">
        <v>1933</v>
      </c>
      <c r="G112" s="16">
        <v>224.81</v>
      </c>
      <c r="H112" s="6">
        <v>58</v>
      </c>
      <c r="I112" s="6">
        <v>0</v>
      </c>
      <c r="J112" s="6">
        <v>0</v>
      </c>
      <c r="K112" s="16">
        <v>0</v>
      </c>
      <c r="L112" s="8">
        <v>0</v>
      </c>
      <c r="M112" s="9">
        <v>3.0005173305742368E-2</v>
      </c>
      <c r="N112" s="9">
        <v>0</v>
      </c>
      <c r="O112" s="9">
        <v>0</v>
      </c>
      <c r="P112" s="7">
        <v>0</v>
      </c>
      <c r="Q112" s="7">
        <v>3.8760344827586208</v>
      </c>
      <c r="R112" s="7">
        <v>0</v>
      </c>
      <c r="S112" s="7">
        <v>0</v>
      </c>
      <c r="T112" s="16">
        <v>0</v>
      </c>
      <c r="U112" t="s">
        <v>34</v>
      </c>
      <c r="V112" t="s">
        <v>24</v>
      </c>
      <c r="W112" t="s">
        <v>27</v>
      </c>
      <c r="X112" t="b">
        <f t="shared" si="1"/>
        <v>1</v>
      </c>
    </row>
    <row r="113" spans="1:24" x14ac:dyDescent="0.3">
      <c r="A113" s="6">
        <v>306</v>
      </c>
      <c r="B113" s="11">
        <v>44255</v>
      </c>
      <c r="C113" t="s">
        <v>35</v>
      </c>
      <c r="D113" t="s">
        <v>22</v>
      </c>
      <c r="E113" s="6">
        <v>544756</v>
      </c>
      <c r="F113" s="6">
        <v>25840</v>
      </c>
      <c r="G113" s="16">
        <v>6844.8</v>
      </c>
      <c r="H113" s="6">
        <v>248</v>
      </c>
      <c r="I113" s="6">
        <v>5</v>
      </c>
      <c r="J113" s="6">
        <v>1</v>
      </c>
      <c r="K113" s="16">
        <v>1491</v>
      </c>
      <c r="L113" s="8">
        <v>-0.7821704067321178</v>
      </c>
      <c r="M113" s="9">
        <v>9.5975232198142416E-3</v>
      </c>
      <c r="N113" s="9">
        <v>2.0161290322580641E-2</v>
      </c>
      <c r="O113" s="9">
        <v>0.2</v>
      </c>
      <c r="P113" s="7">
        <v>1491</v>
      </c>
      <c r="Q113" s="7">
        <v>27.6</v>
      </c>
      <c r="R113" s="7">
        <v>1368.96</v>
      </c>
      <c r="S113" s="7">
        <v>6844.8</v>
      </c>
      <c r="T113" s="16">
        <v>-5353.8</v>
      </c>
      <c r="U113" t="s">
        <v>34</v>
      </c>
      <c r="V113" t="s">
        <v>24</v>
      </c>
      <c r="W113" t="s">
        <v>28</v>
      </c>
      <c r="X113" t="b">
        <f t="shared" si="1"/>
        <v>1</v>
      </c>
    </row>
    <row r="114" spans="1:24" x14ac:dyDescent="0.3">
      <c r="A114" s="6">
        <v>6</v>
      </c>
      <c r="B114" s="11">
        <v>44228</v>
      </c>
      <c r="C114" t="s">
        <v>21</v>
      </c>
      <c r="D114" t="s">
        <v>22</v>
      </c>
      <c r="E114" s="6">
        <v>9034945</v>
      </c>
      <c r="F114" s="6">
        <v>444857</v>
      </c>
      <c r="G114" s="16">
        <v>9540.01</v>
      </c>
      <c r="H114" s="6">
        <v>1342</v>
      </c>
      <c r="I114" s="6">
        <v>27</v>
      </c>
      <c r="J114" s="6">
        <v>3</v>
      </c>
      <c r="K114" s="16">
        <v>17943</v>
      </c>
      <c r="L114" s="8">
        <v>0.8808156385580308</v>
      </c>
      <c r="M114" s="9">
        <v>3.016699748458493E-3</v>
      </c>
      <c r="N114" s="9">
        <v>2.0119225037257819E-2</v>
      </c>
      <c r="O114" s="9">
        <v>0.1111111111111111</v>
      </c>
      <c r="P114" s="7">
        <v>5981</v>
      </c>
      <c r="Q114" s="7">
        <v>7.1088002980625937</v>
      </c>
      <c r="R114" s="7">
        <v>353.33370370370369</v>
      </c>
      <c r="S114" s="7">
        <v>3180.003333333334</v>
      </c>
      <c r="T114" s="16">
        <v>8402.99</v>
      </c>
      <c r="U114" t="s">
        <v>23</v>
      </c>
      <c r="V114" t="s">
        <v>36</v>
      </c>
      <c r="W114" t="s">
        <v>25</v>
      </c>
      <c r="X114" t="b">
        <f t="shared" si="1"/>
        <v>1</v>
      </c>
    </row>
    <row r="115" spans="1:24" x14ac:dyDescent="0.3">
      <c r="A115" s="6">
        <v>7</v>
      </c>
      <c r="B115" s="11">
        <v>44228</v>
      </c>
      <c r="C115" t="s">
        <v>21</v>
      </c>
      <c r="D115" t="s">
        <v>22</v>
      </c>
      <c r="E115" s="6">
        <v>983498</v>
      </c>
      <c r="F115" s="6">
        <v>511200</v>
      </c>
      <c r="G115" s="16">
        <v>3648.9</v>
      </c>
      <c r="H115" s="6">
        <v>2556</v>
      </c>
      <c r="I115" s="6">
        <v>94</v>
      </c>
      <c r="J115" s="6">
        <v>1</v>
      </c>
      <c r="K115" s="16">
        <v>1981</v>
      </c>
      <c r="L115" s="8">
        <v>-0.45709665926717641</v>
      </c>
      <c r="M115" s="9">
        <v>5.0000000000000001E-3</v>
      </c>
      <c r="N115" s="9">
        <v>3.6776212832550857E-2</v>
      </c>
      <c r="O115" s="9">
        <v>1.063829787234043E-2</v>
      </c>
      <c r="P115" s="7">
        <v>1981</v>
      </c>
      <c r="Q115" s="7">
        <v>1.4275821596244129</v>
      </c>
      <c r="R115" s="7">
        <v>38.818085106382981</v>
      </c>
      <c r="S115" s="7">
        <v>3648.9</v>
      </c>
      <c r="T115" s="16">
        <v>-1667.9</v>
      </c>
      <c r="U115" t="s">
        <v>23</v>
      </c>
      <c r="V115" t="s">
        <v>36</v>
      </c>
      <c r="W115" t="s">
        <v>26</v>
      </c>
      <c r="X115" t="b">
        <f t="shared" si="1"/>
        <v>1</v>
      </c>
    </row>
    <row r="116" spans="1:24" x14ac:dyDescent="0.3">
      <c r="A116" s="6">
        <v>17</v>
      </c>
      <c r="B116" s="11">
        <v>44229</v>
      </c>
      <c r="C116" t="s">
        <v>29</v>
      </c>
      <c r="D116" t="s">
        <v>22</v>
      </c>
      <c r="E116" s="6">
        <v>9034945</v>
      </c>
      <c r="F116" s="6">
        <v>540200</v>
      </c>
      <c r="G116" s="16">
        <v>29081.1</v>
      </c>
      <c r="H116" s="6">
        <v>2701</v>
      </c>
      <c r="I116" s="6">
        <v>54</v>
      </c>
      <c r="J116" s="6">
        <v>9</v>
      </c>
      <c r="K116" s="16">
        <v>45585</v>
      </c>
      <c r="L116" s="8">
        <v>0.56751292076296989</v>
      </c>
      <c r="M116" s="9">
        <v>5.0000000000000001E-3</v>
      </c>
      <c r="N116" s="9">
        <v>1.9992595335061088E-2</v>
      </c>
      <c r="O116" s="9">
        <v>0.16666666666666671</v>
      </c>
      <c r="P116" s="7">
        <v>5065</v>
      </c>
      <c r="Q116" s="7">
        <v>10.766790077748979</v>
      </c>
      <c r="R116" s="7">
        <v>538.53888888888889</v>
      </c>
      <c r="S116" s="7">
        <v>3231.2333333333331</v>
      </c>
      <c r="T116" s="16">
        <v>16503.900000000001</v>
      </c>
      <c r="U116" t="s">
        <v>23</v>
      </c>
      <c r="V116" t="s">
        <v>36</v>
      </c>
      <c r="W116" t="s">
        <v>25</v>
      </c>
      <c r="X116" t="b">
        <f t="shared" si="1"/>
        <v>1</v>
      </c>
    </row>
    <row r="117" spans="1:24" x14ac:dyDescent="0.3">
      <c r="A117" s="6">
        <v>18</v>
      </c>
      <c r="B117" s="11">
        <v>44229</v>
      </c>
      <c r="C117" t="s">
        <v>29</v>
      </c>
      <c r="D117" t="s">
        <v>22</v>
      </c>
      <c r="E117" s="6">
        <v>983498</v>
      </c>
      <c r="F117" s="6">
        <v>1020800</v>
      </c>
      <c r="G117" s="16">
        <v>1421.34</v>
      </c>
      <c r="H117" s="6">
        <v>5104</v>
      </c>
      <c r="I117" s="6">
        <v>14</v>
      </c>
      <c r="J117" s="6">
        <v>0</v>
      </c>
      <c r="K117" s="16">
        <v>0</v>
      </c>
      <c r="L117" s="8">
        <v>0</v>
      </c>
      <c r="M117" s="9">
        <v>5.0000000000000001E-3</v>
      </c>
      <c r="N117" s="9">
        <v>2.7429467084639498E-3</v>
      </c>
      <c r="O117" s="9">
        <v>0</v>
      </c>
      <c r="P117" s="7">
        <v>0</v>
      </c>
      <c r="Q117" s="7">
        <v>0.27847570532915361</v>
      </c>
      <c r="R117" s="7">
        <v>101.5242857142857</v>
      </c>
      <c r="S117" s="7">
        <v>0</v>
      </c>
      <c r="T117" s="16">
        <v>0</v>
      </c>
      <c r="U117" t="s">
        <v>23</v>
      </c>
      <c r="V117" t="s">
        <v>36</v>
      </c>
      <c r="W117" t="s">
        <v>26</v>
      </c>
      <c r="X117" t="b">
        <f t="shared" si="1"/>
        <v>1</v>
      </c>
    </row>
    <row r="118" spans="1:24" x14ac:dyDescent="0.3">
      <c r="A118" s="6">
        <v>28</v>
      </c>
      <c r="B118" s="11">
        <v>44230</v>
      </c>
      <c r="C118" t="s">
        <v>30</v>
      </c>
      <c r="D118" t="s">
        <v>22</v>
      </c>
      <c r="E118" s="6">
        <v>9034945</v>
      </c>
      <c r="F118" s="6">
        <v>1618600</v>
      </c>
      <c r="G118" s="16">
        <v>62509.8</v>
      </c>
      <c r="H118" s="6">
        <v>8093</v>
      </c>
      <c r="I118" s="6">
        <v>166</v>
      </c>
      <c r="J118" s="6">
        <v>15</v>
      </c>
      <c r="K118" s="16">
        <v>84600</v>
      </c>
      <c r="L118" s="8">
        <v>0.35338778879471688</v>
      </c>
      <c r="M118" s="9">
        <v>5.0000000000000001E-3</v>
      </c>
      <c r="N118" s="9">
        <v>2.0511553194118369E-2</v>
      </c>
      <c r="O118" s="9">
        <v>9.036144578313253E-2</v>
      </c>
      <c r="P118" s="7">
        <v>5640</v>
      </c>
      <c r="Q118" s="7">
        <v>7.7239342641789204</v>
      </c>
      <c r="R118" s="7">
        <v>376.56506024096387</v>
      </c>
      <c r="S118" s="7">
        <v>4167.3200000000006</v>
      </c>
      <c r="T118" s="16">
        <v>22090.2</v>
      </c>
      <c r="U118" t="s">
        <v>23</v>
      </c>
      <c r="V118" t="s">
        <v>36</v>
      </c>
      <c r="W118" t="s">
        <v>25</v>
      </c>
      <c r="X118" t="b">
        <f t="shared" si="1"/>
        <v>1</v>
      </c>
    </row>
    <row r="119" spans="1:24" x14ac:dyDescent="0.3">
      <c r="A119" s="6">
        <v>29</v>
      </c>
      <c r="B119" s="11">
        <v>44230</v>
      </c>
      <c r="C119" t="s">
        <v>30</v>
      </c>
      <c r="D119" t="s">
        <v>22</v>
      </c>
      <c r="E119" s="6">
        <v>983498</v>
      </c>
      <c r="F119" s="6">
        <v>3059600</v>
      </c>
      <c r="G119" s="16">
        <v>94399.9</v>
      </c>
      <c r="H119" s="6">
        <v>15298</v>
      </c>
      <c r="I119" s="6">
        <v>592</v>
      </c>
      <c r="J119" s="6">
        <v>36</v>
      </c>
      <c r="K119" s="16">
        <v>104184</v>
      </c>
      <c r="L119" s="8">
        <v>0.1036452369123273</v>
      </c>
      <c r="M119" s="9">
        <v>5.0000000000000001E-3</v>
      </c>
      <c r="N119" s="9">
        <v>3.8697869002483988E-2</v>
      </c>
      <c r="O119" s="9">
        <v>6.0810810810810807E-2</v>
      </c>
      <c r="P119" s="7">
        <v>2894</v>
      </c>
      <c r="Q119" s="7">
        <v>6.170734736566871</v>
      </c>
      <c r="R119" s="7">
        <v>159.45929054054051</v>
      </c>
      <c r="S119" s="7">
        <v>2622.219444444444</v>
      </c>
      <c r="T119" s="16">
        <v>9784.1000000000058</v>
      </c>
      <c r="U119" t="s">
        <v>23</v>
      </c>
      <c r="V119" t="s">
        <v>36</v>
      </c>
      <c r="W119" t="s">
        <v>26</v>
      </c>
      <c r="X119" t="b">
        <f t="shared" si="1"/>
        <v>1</v>
      </c>
    </row>
    <row r="120" spans="1:24" x14ac:dyDescent="0.3">
      <c r="A120" s="6">
        <v>39</v>
      </c>
      <c r="B120" s="11">
        <v>44231</v>
      </c>
      <c r="C120" t="s">
        <v>31</v>
      </c>
      <c r="D120" t="s">
        <v>22</v>
      </c>
      <c r="E120" s="6">
        <v>9034945</v>
      </c>
      <c r="F120" s="6">
        <v>1322751</v>
      </c>
      <c r="G120" s="16">
        <v>104028</v>
      </c>
      <c r="H120" s="6">
        <v>10794</v>
      </c>
      <c r="I120" s="6">
        <v>238</v>
      </c>
      <c r="J120" s="6">
        <v>27</v>
      </c>
      <c r="K120" s="16">
        <v>179037</v>
      </c>
      <c r="L120" s="8">
        <v>0.72104625677702161</v>
      </c>
      <c r="M120" s="9">
        <v>8.1602659911049012E-3</v>
      </c>
      <c r="N120" s="9">
        <v>2.2049286640726331E-2</v>
      </c>
      <c r="O120" s="9">
        <v>0.1134453781512605</v>
      </c>
      <c r="P120" s="7">
        <v>6631</v>
      </c>
      <c r="Q120" s="7">
        <v>9.6375764313507499</v>
      </c>
      <c r="R120" s="7">
        <v>437.0924369747899</v>
      </c>
      <c r="S120" s="7">
        <v>3852.8888888888891</v>
      </c>
      <c r="T120" s="16">
        <v>75009</v>
      </c>
      <c r="U120" t="s">
        <v>23</v>
      </c>
      <c r="V120" t="s">
        <v>36</v>
      </c>
      <c r="W120" t="s">
        <v>25</v>
      </c>
      <c r="X120" t="b">
        <f t="shared" si="1"/>
        <v>1</v>
      </c>
    </row>
    <row r="121" spans="1:24" x14ac:dyDescent="0.3">
      <c r="A121" s="6">
        <v>40</v>
      </c>
      <c r="B121" s="11">
        <v>44231</v>
      </c>
      <c r="C121" t="s">
        <v>31</v>
      </c>
      <c r="D121" t="s">
        <v>22</v>
      </c>
      <c r="E121" s="6">
        <v>983498</v>
      </c>
      <c r="F121" s="6">
        <v>3008227</v>
      </c>
      <c r="G121" s="16">
        <v>40119.199999999997</v>
      </c>
      <c r="H121" s="6">
        <v>20392</v>
      </c>
      <c r="I121" s="6">
        <v>408</v>
      </c>
      <c r="J121" s="6">
        <v>12</v>
      </c>
      <c r="K121" s="16">
        <v>23772</v>
      </c>
      <c r="L121" s="8">
        <v>-0.40746575205886448</v>
      </c>
      <c r="M121" s="9">
        <v>6.7787437583666389E-3</v>
      </c>
      <c r="N121" s="9">
        <v>2.0007846214201649E-2</v>
      </c>
      <c r="O121" s="9">
        <v>2.9411764705882349E-2</v>
      </c>
      <c r="P121" s="7">
        <v>1981</v>
      </c>
      <c r="Q121" s="7">
        <v>1.9673989799921541</v>
      </c>
      <c r="R121" s="7">
        <v>98.331372549019605</v>
      </c>
      <c r="S121" s="7">
        <v>3343.266666666666</v>
      </c>
      <c r="T121" s="16">
        <v>-16347.2</v>
      </c>
      <c r="U121" t="s">
        <v>23</v>
      </c>
      <c r="V121" t="s">
        <v>36</v>
      </c>
      <c r="W121" t="s">
        <v>26</v>
      </c>
      <c r="X121" t="b">
        <f t="shared" si="1"/>
        <v>1</v>
      </c>
    </row>
    <row r="122" spans="1:24" x14ac:dyDescent="0.3">
      <c r="A122" s="6">
        <v>50</v>
      </c>
      <c r="B122" s="11">
        <v>44232</v>
      </c>
      <c r="C122" t="s">
        <v>32</v>
      </c>
      <c r="D122" t="s">
        <v>22</v>
      </c>
      <c r="E122" s="6">
        <v>9034945</v>
      </c>
      <c r="F122" s="6">
        <v>7485780</v>
      </c>
      <c r="G122" s="16">
        <v>258306</v>
      </c>
      <c r="H122" s="6">
        <v>13498</v>
      </c>
      <c r="I122" s="6">
        <v>526</v>
      </c>
      <c r="J122" s="6">
        <v>76</v>
      </c>
      <c r="K122" s="16">
        <v>454556</v>
      </c>
      <c r="L122" s="8">
        <v>0.75975780663244374</v>
      </c>
      <c r="M122" s="9">
        <v>1.8031521097333881E-3</v>
      </c>
      <c r="N122" s="9">
        <v>3.8968736109053187E-2</v>
      </c>
      <c r="O122" s="9">
        <v>0.14448669201520911</v>
      </c>
      <c r="P122" s="7">
        <v>5981</v>
      </c>
      <c r="Q122" s="7">
        <v>19.136612831530599</v>
      </c>
      <c r="R122" s="7">
        <v>491.0760456273764</v>
      </c>
      <c r="S122" s="7">
        <v>3398.7631578947371</v>
      </c>
      <c r="T122" s="16">
        <v>196250</v>
      </c>
      <c r="U122" t="s">
        <v>23</v>
      </c>
      <c r="V122" t="s">
        <v>36</v>
      </c>
      <c r="W122" t="s">
        <v>25</v>
      </c>
      <c r="X122" t="b">
        <f t="shared" si="1"/>
        <v>1</v>
      </c>
    </row>
    <row r="123" spans="1:24" x14ac:dyDescent="0.3">
      <c r="A123" s="6">
        <v>51</v>
      </c>
      <c r="B123" s="11">
        <v>44232</v>
      </c>
      <c r="C123" t="s">
        <v>32</v>
      </c>
      <c r="D123" t="s">
        <v>22</v>
      </c>
      <c r="E123" s="6">
        <v>983498</v>
      </c>
      <c r="F123" s="6">
        <v>5100600</v>
      </c>
      <c r="G123" s="16">
        <v>13588.8</v>
      </c>
      <c r="H123" s="6">
        <v>25503</v>
      </c>
      <c r="I123" s="6">
        <v>765</v>
      </c>
      <c r="J123" s="6">
        <v>4</v>
      </c>
      <c r="K123" s="16">
        <v>7924</v>
      </c>
      <c r="L123" s="8">
        <v>-0.41687271870952552</v>
      </c>
      <c r="M123" s="9">
        <v>5.0000000000000001E-3</v>
      </c>
      <c r="N123" s="9">
        <v>2.9996471003411362E-2</v>
      </c>
      <c r="O123" s="9">
        <v>5.2287581699346402E-3</v>
      </c>
      <c r="P123" s="7">
        <v>1981</v>
      </c>
      <c r="Q123" s="7">
        <v>0.53283143159628277</v>
      </c>
      <c r="R123" s="7">
        <v>17.763137254901959</v>
      </c>
      <c r="S123" s="7">
        <v>3397.2</v>
      </c>
      <c r="T123" s="16">
        <v>-5664.7999999999993</v>
      </c>
      <c r="U123" t="s">
        <v>23</v>
      </c>
      <c r="V123" t="s">
        <v>36</v>
      </c>
      <c r="W123" t="s">
        <v>26</v>
      </c>
      <c r="X123" t="b">
        <f t="shared" si="1"/>
        <v>1</v>
      </c>
    </row>
    <row r="124" spans="1:24" x14ac:dyDescent="0.3">
      <c r="A124" s="6">
        <v>61</v>
      </c>
      <c r="B124" s="11">
        <v>44233</v>
      </c>
      <c r="C124" t="s">
        <v>33</v>
      </c>
      <c r="D124" t="s">
        <v>22</v>
      </c>
      <c r="E124" s="6">
        <v>9034945</v>
      </c>
      <c r="F124" s="6">
        <v>425467</v>
      </c>
      <c r="G124" s="16">
        <v>3661.53</v>
      </c>
      <c r="H124" s="6">
        <v>2695</v>
      </c>
      <c r="I124" s="6">
        <v>14</v>
      </c>
      <c r="J124" s="6">
        <v>1</v>
      </c>
      <c r="K124" s="16">
        <v>5958</v>
      </c>
      <c r="L124" s="8">
        <v>0.62718863425944882</v>
      </c>
      <c r="M124" s="9">
        <v>6.3342162846942301E-3</v>
      </c>
      <c r="N124" s="9">
        <v>5.1948051948051948E-3</v>
      </c>
      <c r="O124" s="9">
        <v>7.1428571428571425E-2</v>
      </c>
      <c r="P124" s="7">
        <v>5958</v>
      </c>
      <c r="Q124" s="7">
        <v>1.358638218923933</v>
      </c>
      <c r="R124" s="7">
        <v>261.53785714285709</v>
      </c>
      <c r="S124" s="7">
        <v>3661.53</v>
      </c>
      <c r="T124" s="16">
        <v>2296.4699999999998</v>
      </c>
      <c r="U124" t="s">
        <v>34</v>
      </c>
      <c r="V124" t="s">
        <v>36</v>
      </c>
      <c r="W124" t="s">
        <v>25</v>
      </c>
      <c r="X124" t="b">
        <f t="shared" si="1"/>
        <v>1</v>
      </c>
    </row>
    <row r="125" spans="1:24" x14ac:dyDescent="0.3">
      <c r="A125" s="6">
        <v>62</v>
      </c>
      <c r="B125" s="11">
        <v>44233</v>
      </c>
      <c r="C125" t="s">
        <v>33</v>
      </c>
      <c r="D125" t="s">
        <v>22</v>
      </c>
      <c r="E125" s="6">
        <v>983498</v>
      </c>
      <c r="F125" s="6">
        <v>1589341</v>
      </c>
      <c r="G125" s="16">
        <v>12183.4</v>
      </c>
      <c r="H125" s="6">
        <v>5092</v>
      </c>
      <c r="I125" s="6">
        <v>102</v>
      </c>
      <c r="J125" s="6">
        <v>5</v>
      </c>
      <c r="K125" s="16">
        <v>12295</v>
      </c>
      <c r="L125" s="8">
        <v>9.160004596418107E-3</v>
      </c>
      <c r="M125" s="9">
        <v>3.2038436056201912E-3</v>
      </c>
      <c r="N125" s="9">
        <v>2.0031421838177531E-2</v>
      </c>
      <c r="O125" s="9">
        <v>4.9019607843137247E-2</v>
      </c>
      <c r="P125" s="7">
        <v>2459</v>
      </c>
      <c r="Q125" s="7">
        <v>2.392655145326001</v>
      </c>
      <c r="R125" s="7">
        <v>119.44509803921569</v>
      </c>
      <c r="S125" s="7">
        <v>2436.6799999999998</v>
      </c>
      <c r="T125" s="16">
        <v>111.60000000000041</v>
      </c>
      <c r="U125" t="s">
        <v>34</v>
      </c>
      <c r="V125" t="s">
        <v>36</v>
      </c>
      <c r="W125" t="s">
        <v>26</v>
      </c>
      <c r="X125" t="b">
        <f t="shared" si="1"/>
        <v>1</v>
      </c>
    </row>
    <row r="126" spans="1:24" x14ac:dyDescent="0.3">
      <c r="A126" s="6">
        <v>72</v>
      </c>
      <c r="B126" s="11">
        <v>44234</v>
      </c>
      <c r="C126" t="s">
        <v>35</v>
      </c>
      <c r="D126" t="s">
        <v>22</v>
      </c>
      <c r="E126" s="6">
        <v>9034945</v>
      </c>
      <c r="F126" s="6">
        <v>1246126</v>
      </c>
      <c r="G126" s="16">
        <v>37965.9</v>
      </c>
      <c r="H126" s="6">
        <v>2696</v>
      </c>
      <c r="I126" s="6">
        <v>100</v>
      </c>
      <c r="J126" s="6">
        <v>11</v>
      </c>
      <c r="K126" s="16">
        <v>65791</v>
      </c>
      <c r="L126" s="8">
        <v>0.73289715244469378</v>
      </c>
      <c r="M126" s="9">
        <v>2.163505135114748E-3</v>
      </c>
      <c r="N126" s="9">
        <v>3.7091988130563802E-2</v>
      </c>
      <c r="O126" s="9">
        <v>0.11</v>
      </c>
      <c r="P126" s="7">
        <v>5981</v>
      </c>
      <c r="Q126" s="7">
        <v>14.082307121661721</v>
      </c>
      <c r="R126" s="7">
        <v>379.65899999999999</v>
      </c>
      <c r="S126" s="7">
        <v>3451.445454545455</v>
      </c>
      <c r="T126" s="16">
        <v>27825.1</v>
      </c>
      <c r="U126" t="s">
        <v>34</v>
      </c>
      <c r="V126" t="s">
        <v>36</v>
      </c>
      <c r="W126" t="s">
        <v>25</v>
      </c>
      <c r="X126" t="b">
        <f t="shared" si="1"/>
        <v>1</v>
      </c>
    </row>
    <row r="127" spans="1:24" x14ac:dyDescent="0.3">
      <c r="A127" s="6">
        <v>73</v>
      </c>
      <c r="B127" s="11">
        <v>44234</v>
      </c>
      <c r="C127" t="s">
        <v>35</v>
      </c>
      <c r="D127" t="s">
        <v>22</v>
      </c>
      <c r="E127" s="6">
        <v>983498</v>
      </c>
      <c r="F127" s="6">
        <v>567096</v>
      </c>
      <c r="G127" s="16">
        <v>6747.94</v>
      </c>
      <c r="H127" s="6">
        <v>5103</v>
      </c>
      <c r="I127" s="6">
        <v>199</v>
      </c>
      <c r="J127" s="6">
        <v>2</v>
      </c>
      <c r="K127" s="16">
        <v>3962</v>
      </c>
      <c r="L127" s="8">
        <v>-0.41285784995124442</v>
      </c>
      <c r="M127" s="9">
        <v>8.9984764484320121E-3</v>
      </c>
      <c r="N127" s="9">
        <v>3.8996668626298248E-2</v>
      </c>
      <c r="O127" s="9">
        <v>1.0050251256281411E-2</v>
      </c>
      <c r="P127" s="7">
        <v>1981</v>
      </c>
      <c r="Q127" s="7">
        <v>1.322347638643935</v>
      </c>
      <c r="R127" s="7">
        <v>33.909246231155777</v>
      </c>
      <c r="S127" s="7">
        <v>3373.97</v>
      </c>
      <c r="T127" s="16">
        <v>-2785.94</v>
      </c>
      <c r="U127" t="s">
        <v>34</v>
      </c>
      <c r="V127" t="s">
        <v>36</v>
      </c>
      <c r="W127" t="s">
        <v>26</v>
      </c>
      <c r="X127" t="b">
        <f t="shared" si="1"/>
        <v>1</v>
      </c>
    </row>
    <row r="128" spans="1:24" x14ac:dyDescent="0.3">
      <c r="A128" s="6">
        <v>83</v>
      </c>
      <c r="B128" s="11">
        <v>44235</v>
      </c>
      <c r="C128" t="s">
        <v>21</v>
      </c>
      <c r="D128" t="s">
        <v>22</v>
      </c>
      <c r="E128" s="6">
        <v>9034945</v>
      </c>
      <c r="F128" s="6">
        <v>472836</v>
      </c>
      <c r="G128" s="16">
        <v>330.76</v>
      </c>
      <c r="H128" s="6">
        <v>2690</v>
      </c>
      <c r="I128" s="6">
        <v>1</v>
      </c>
      <c r="J128" s="6">
        <v>0</v>
      </c>
      <c r="K128" s="16">
        <v>0</v>
      </c>
      <c r="L128" s="8">
        <v>0</v>
      </c>
      <c r="M128" s="9">
        <v>5.6890761278752039E-3</v>
      </c>
      <c r="N128" s="9">
        <v>3.7174721189591077E-4</v>
      </c>
      <c r="O128" s="9">
        <v>0</v>
      </c>
      <c r="P128" s="7">
        <v>0</v>
      </c>
      <c r="Q128" s="7">
        <v>0.12295910780669141</v>
      </c>
      <c r="R128" s="7">
        <v>330.76</v>
      </c>
      <c r="S128" s="7">
        <v>0</v>
      </c>
      <c r="T128" s="16">
        <v>0</v>
      </c>
      <c r="U128" t="s">
        <v>23</v>
      </c>
      <c r="V128" t="s">
        <v>36</v>
      </c>
      <c r="W128" t="s">
        <v>25</v>
      </c>
      <c r="X128" t="b">
        <f t="shared" si="1"/>
        <v>1</v>
      </c>
    </row>
    <row r="129" spans="1:24" x14ac:dyDescent="0.3">
      <c r="A129" s="6">
        <v>84</v>
      </c>
      <c r="B129" s="11">
        <v>44235</v>
      </c>
      <c r="C129" t="s">
        <v>21</v>
      </c>
      <c r="D129" t="s">
        <v>22</v>
      </c>
      <c r="E129" s="6">
        <v>983498</v>
      </c>
      <c r="F129" s="6">
        <v>1020000</v>
      </c>
      <c r="G129" s="16">
        <v>2057.3000000000002</v>
      </c>
      <c r="H129" s="6">
        <v>5100</v>
      </c>
      <c r="I129" s="6">
        <v>102</v>
      </c>
      <c r="J129" s="6">
        <v>1</v>
      </c>
      <c r="K129" s="16">
        <v>1981</v>
      </c>
      <c r="L129" s="8">
        <v>-3.7087444709084809E-2</v>
      </c>
      <c r="M129" s="9">
        <v>5.0000000000000001E-3</v>
      </c>
      <c r="N129" s="9">
        <v>0.02</v>
      </c>
      <c r="O129" s="9">
        <v>9.8039215686274508E-3</v>
      </c>
      <c r="P129" s="7">
        <v>1981</v>
      </c>
      <c r="Q129" s="7">
        <v>0.40339215686274521</v>
      </c>
      <c r="R129" s="7">
        <v>20.169607843137261</v>
      </c>
      <c r="S129" s="7">
        <v>2057.3000000000002</v>
      </c>
      <c r="T129" s="16">
        <v>-76.300000000000182</v>
      </c>
      <c r="U129" t="s">
        <v>23</v>
      </c>
      <c r="V129" t="s">
        <v>36</v>
      </c>
      <c r="W129" t="s">
        <v>26</v>
      </c>
      <c r="X129" t="b">
        <f t="shared" si="1"/>
        <v>1</v>
      </c>
    </row>
    <row r="130" spans="1:24" x14ac:dyDescent="0.3">
      <c r="A130" s="6">
        <v>94</v>
      </c>
      <c r="B130" s="11">
        <v>44236</v>
      </c>
      <c r="C130" t="s">
        <v>29</v>
      </c>
      <c r="D130" t="s">
        <v>22</v>
      </c>
      <c r="E130" s="6">
        <v>9034945</v>
      </c>
      <c r="F130" s="6">
        <v>759532</v>
      </c>
      <c r="G130" s="16">
        <v>10317</v>
      </c>
      <c r="H130" s="6">
        <v>2701</v>
      </c>
      <c r="I130" s="6">
        <v>19</v>
      </c>
      <c r="J130" s="6">
        <v>3</v>
      </c>
      <c r="K130" s="16">
        <v>19800</v>
      </c>
      <c r="L130" s="8">
        <v>0.91916254725210822</v>
      </c>
      <c r="M130" s="9">
        <v>3.556137200275959E-3</v>
      </c>
      <c r="N130" s="9">
        <v>7.0344316919659384E-3</v>
      </c>
      <c r="O130" s="9">
        <v>0.15789473684210531</v>
      </c>
      <c r="P130" s="7">
        <v>6600</v>
      </c>
      <c r="Q130" s="7">
        <v>3.8196964087375052</v>
      </c>
      <c r="R130" s="7">
        <v>543</v>
      </c>
      <c r="S130" s="7">
        <v>3439</v>
      </c>
      <c r="T130" s="16">
        <v>9483</v>
      </c>
      <c r="U130" t="s">
        <v>23</v>
      </c>
      <c r="V130" t="s">
        <v>36</v>
      </c>
      <c r="W130" t="s">
        <v>25</v>
      </c>
      <c r="X130" t="b">
        <f t="shared" ref="X130:X193" si="2">NOT(AND(G130=0,K130&gt;1000000))</f>
        <v>1</v>
      </c>
    </row>
    <row r="131" spans="1:24" x14ac:dyDescent="0.3">
      <c r="A131" s="6">
        <v>95</v>
      </c>
      <c r="B131" s="11">
        <v>44236</v>
      </c>
      <c r="C131" t="s">
        <v>29</v>
      </c>
      <c r="D131" t="s">
        <v>22</v>
      </c>
      <c r="E131" s="6">
        <v>983498</v>
      </c>
      <c r="F131" s="6">
        <v>1022000</v>
      </c>
      <c r="G131" s="16">
        <v>7398.26</v>
      </c>
      <c r="H131" s="6">
        <v>5110</v>
      </c>
      <c r="I131" s="6">
        <v>102</v>
      </c>
      <c r="J131" s="6">
        <v>3</v>
      </c>
      <c r="K131" s="16">
        <v>5943</v>
      </c>
      <c r="L131" s="8">
        <v>-0.19670300854525261</v>
      </c>
      <c r="M131" s="9">
        <v>5.0000000000000001E-3</v>
      </c>
      <c r="N131" s="9">
        <v>1.9960861056751471E-2</v>
      </c>
      <c r="O131" s="9">
        <v>2.9411764705882349E-2</v>
      </c>
      <c r="P131" s="7">
        <v>1981</v>
      </c>
      <c r="Q131" s="7">
        <v>1.4478003913894331</v>
      </c>
      <c r="R131" s="7">
        <v>72.531960784313725</v>
      </c>
      <c r="S131" s="7">
        <v>2466.086666666667</v>
      </c>
      <c r="T131" s="16">
        <v>-1455.26</v>
      </c>
      <c r="U131" t="s">
        <v>23</v>
      </c>
      <c r="V131" t="s">
        <v>36</v>
      </c>
      <c r="W131" t="s">
        <v>26</v>
      </c>
      <c r="X131" t="b">
        <f t="shared" si="2"/>
        <v>1</v>
      </c>
    </row>
    <row r="132" spans="1:24" x14ac:dyDescent="0.3">
      <c r="A132" s="6">
        <v>105</v>
      </c>
      <c r="B132" s="11">
        <v>44237</v>
      </c>
      <c r="C132" t="s">
        <v>30</v>
      </c>
      <c r="D132" t="s">
        <v>22</v>
      </c>
      <c r="E132" s="6">
        <v>9034945</v>
      </c>
      <c r="F132" s="6">
        <v>3858193</v>
      </c>
      <c r="G132" s="16">
        <v>38890.300000000003</v>
      </c>
      <c r="H132" s="6">
        <v>5406</v>
      </c>
      <c r="I132" s="6">
        <v>186</v>
      </c>
      <c r="J132" s="6">
        <v>14</v>
      </c>
      <c r="K132" s="16">
        <v>83734</v>
      </c>
      <c r="L132" s="8">
        <v>1.15308187388629</v>
      </c>
      <c r="M132" s="9">
        <v>1.4011740729403641E-3</v>
      </c>
      <c r="N132" s="9">
        <v>3.4406215316315207E-2</v>
      </c>
      <c r="O132" s="9">
        <v>7.5268817204301078E-2</v>
      </c>
      <c r="P132" s="7">
        <v>5981</v>
      </c>
      <c r="Q132" s="7">
        <v>7.1939141694413618</v>
      </c>
      <c r="R132" s="7">
        <v>209.08763440860221</v>
      </c>
      <c r="S132" s="7">
        <v>2777.8785714285718</v>
      </c>
      <c r="T132" s="16">
        <v>44843.7</v>
      </c>
      <c r="U132" t="s">
        <v>23</v>
      </c>
      <c r="V132" t="s">
        <v>36</v>
      </c>
      <c r="W132" t="s">
        <v>25</v>
      </c>
      <c r="X132" t="b">
        <f t="shared" si="2"/>
        <v>1</v>
      </c>
    </row>
    <row r="133" spans="1:24" x14ac:dyDescent="0.3">
      <c r="A133" s="6">
        <v>106</v>
      </c>
      <c r="B133" s="11">
        <v>44237</v>
      </c>
      <c r="C133" t="s">
        <v>30</v>
      </c>
      <c r="D133" t="s">
        <v>22</v>
      </c>
      <c r="E133" s="6">
        <v>983498</v>
      </c>
      <c r="F133" s="6">
        <v>2040000</v>
      </c>
      <c r="G133" s="16">
        <v>14147.9</v>
      </c>
      <c r="H133" s="6">
        <v>10200</v>
      </c>
      <c r="I133" s="6">
        <v>395</v>
      </c>
      <c r="J133" s="6">
        <v>4</v>
      </c>
      <c r="K133" s="16">
        <v>7924</v>
      </c>
      <c r="L133" s="8">
        <v>-0.43991687812325497</v>
      </c>
      <c r="M133" s="9">
        <v>5.0000000000000001E-3</v>
      </c>
      <c r="N133" s="9">
        <v>3.8725490196078433E-2</v>
      </c>
      <c r="O133" s="9">
        <v>1.0126582278481009E-2</v>
      </c>
      <c r="P133" s="7">
        <v>1981</v>
      </c>
      <c r="Q133" s="7">
        <v>1.3870490196078431</v>
      </c>
      <c r="R133" s="7">
        <v>35.817468354430382</v>
      </c>
      <c r="S133" s="7">
        <v>3536.9749999999999</v>
      </c>
      <c r="T133" s="16">
        <v>-6223.9</v>
      </c>
      <c r="U133" t="s">
        <v>23</v>
      </c>
      <c r="V133" t="s">
        <v>36</v>
      </c>
      <c r="W133" t="s">
        <v>26</v>
      </c>
      <c r="X133" t="b">
        <f t="shared" si="2"/>
        <v>1</v>
      </c>
    </row>
    <row r="134" spans="1:24" x14ac:dyDescent="0.3">
      <c r="A134" s="6">
        <v>116</v>
      </c>
      <c r="B134" s="11">
        <v>44238</v>
      </c>
      <c r="C134" t="s">
        <v>31</v>
      </c>
      <c r="D134" t="s">
        <v>22</v>
      </c>
      <c r="E134" s="6">
        <v>9034945</v>
      </c>
      <c r="F134" s="6">
        <v>2224531</v>
      </c>
      <c r="G134" s="16">
        <v>348.99</v>
      </c>
      <c r="H134" s="6">
        <v>8106</v>
      </c>
      <c r="I134" s="6">
        <v>1</v>
      </c>
      <c r="J134" s="6">
        <v>0</v>
      </c>
      <c r="K134" s="16">
        <v>0</v>
      </c>
      <c r="L134" s="8">
        <v>0</v>
      </c>
      <c r="M134" s="9">
        <v>3.643914155388259E-3</v>
      </c>
      <c r="N134" s="9">
        <v>1.233654083395016E-4</v>
      </c>
      <c r="O134" s="9">
        <v>0</v>
      </c>
      <c r="P134" s="7">
        <v>0</v>
      </c>
      <c r="Q134" s="7">
        <v>4.3053293856402657E-2</v>
      </c>
      <c r="R134" s="7">
        <v>348.99</v>
      </c>
      <c r="S134" s="7">
        <v>0</v>
      </c>
      <c r="T134" s="16">
        <v>0</v>
      </c>
      <c r="U134" t="s">
        <v>23</v>
      </c>
      <c r="V134" t="s">
        <v>36</v>
      </c>
      <c r="W134" t="s">
        <v>25</v>
      </c>
      <c r="X134" t="b">
        <f t="shared" si="2"/>
        <v>1</v>
      </c>
    </row>
    <row r="135" spans="1:24" x14ac:dyDescent="0.3">
      <c r="A135" s="6">
        <v>117</v>
      </c>
      <c r="B135" s="11">
        <v>44238</v>
      </c>
      <c r="C135" t="s">
        <v>31</v>
      </c>
      <c r="D135" t="s">
        <v>22</v>
      </c>
      <c r="E135" s="6">
        <v>983498</v>
      </c>
      <c r="F135" s="6">
        <v>3058200</v>
      </c>
      <c r="G135" s="16">
        <v>4138.7299999999996</v>
      </c>
      <c r="H135" s="6">
        <v>15291</v>
      </c>
      <c r="I135" s="6">
        <v>114</v>
      </c>
      <c r="J135" s="6">
        <v>1</v>
      </c>
      <c r="K135" s="16">
        <v>2771</v>
      </c>
      <c r="L135" s="8">
        <v>-0.33047094156903201</v>
      </c>
      <c r="M135" s="9">
        <v>5.0000000000000001E-3</v>
      </c>
      <c r="N135" s="9">
        <v>7.4553659015106927E-3</v>
      </c>
      <c r="O135" s="9">
        <v>8.771929824561403E-3</v>
      </c>
      <c r="P135" s="7">
        <v>2771</v>
      </c>
      <c r="Q135" s="7">
        <v>0.27066444313648552</v>
      </c>
      <c r="R135" s="7">
        <v>36.304649122807007</v>
      </c>
      <c r="S135" s="7">
        <v>4138.7299999999996</v>
      </c>
      <c r="T135" s="16">
        <v>-1367.73</v>
      </c>
      <c r="U135" t="s">
        <v>23</v>
      </c>
      <c r="V135" t="s">
        <v>36</v>
      </c>
      <c r="W135" t="s">
        <v>26</v>
      </c>
      <c r="X135" t="b">
        <f t="shared" si="2"/>
        <v>1</v>
      </c>
    </row>
    <row r="136" spans="1:24" x14ac:dyDescent="0.3">
      <c r="A136" s="6">
        <v>127</v>
      </c>
      <c r="B136" s="11">
        <v>44239</v>
      </c>
      <c r="C136" t="s">
        <v>32</v>
      </c>
      <c r="D136" t="s">
        <v>22</v>
      </c>
      <c r="E136" s="6">
        <v>9034945</v>
      </c>
      <c r="F136" s="6">
        <v>3735390</v>
      </c>
      <c r="G136" s="16">
        <v>26659.9</v>
      </c>
      <c r="H136" s="6">
        <v>10806</v>
      </c>
      <c r="I136" s="6">
        <v>115</v>
      </c>
      <c r="J136" s="6">
        <v>9</v>
      </c>
      <c r="K136" s="16">
        <v>53523</v>
      </c>
      <c r="L136" s="8">
        <v>1.0076219340657691</v>
      </c>
      <c r="M136" s="9">
        <v>2.8928706239509131E-3</v>
      </c>
      <c r="N136" s="9">
        <v>1.0642235794928741E-2</v>
      </c>
      <c r="O136" s="9">
        <v>7.8260869565217397E-2</v>
      </c>
      <c r="P136" s="7">
        <v>5947</v>
      </c>
      <c r="Q136" s="7">
        <v>2.4671386266888771</v>
      </c>
      <c r="R136" s="7">
        <v>231.82521739130439</v>
      </c>
      <c r="S136" s="7">
        <v>2962.2111111111112</v>
      </c>
      <c r="T136" s="16">
        <v>26863.1</v>
      </c>
      <c r="U136" t="s">
        <v>23</v>
      </c>
      <c r="V136" t="s">
        <v>36</v>
      </c>
      <c r="W136" t="s">
        <v>25</v>
      </c>
      <c r="X136" t="b">
        <f t="shared" si="2"/>
        <v>1</v>
      </c>
    </row>
    <row r="137" spans="1:24" x14ac:dyDescent="0.3">
      <c r="A137" s="6">
        <v>128</v>
      </c>
      <c r="B137" s="11">
        <v>44239</v>
      </c>
      <c r="C137" t="s">
        <v>32</v>
      </c>
      <c r="D137" t="s">
        <v>22</v>
      </c>
      <c r="E137" s="6">
        <v>983498</v>
      </c>
      <c r="F137" s="6">
        <v>7156880</v>
      </c>
      <c r="G137" s="16">
        <v>49060.3</v>
      </c>
      <c r="H137" s="6">
        <v>20391</v>
      </c>
      <c r="I137" s="6">
        <v>408</v>
      </c>
      <c r="J137" s="6">
        <v>15</v>
      </c>
      <c r="K137" s="16">
        <v>29715</v>
      </c>
      <c r="L137" s="8">
        <v>-0.3943167897464957</v>
      </c>
      <c r="M137" s="9">
        <v>2.8491465554822768E-3</v>
      </c>
      <c r="N137" s="9">
        <v>2.0008827423863468E-2</v>
      </c>
      <c r="O137" s="9">
        <v>3.6764705882352942E-2</v>
      </c>
      <c r="P137" s="7">
        <v>1981</v>
      </c>
      <c r="Q137" s="7">
        <v>2.4059781276053158</v>
      </c>
      <c r="R137" s="7">
        <v>120.24583333333329</v>
      </c>
      <c r="S137" s="7">
        <v>3270.686666666667</v>
      </c>
      <c r="T137" s="16">
        <v>-19345.3</v>
      </c>
      <c r="U137" t="s">
        <v>23</v>
      </c>
      <c r="V137" t="s">
        <v>36</v>
      </c>
      <c r="W137" t="s">
        <v>26</v>
      </c>
      <c r="X137" t="b">
        <f t="shared" si="2"/>
        <v>1</v>
      </c>
    </row>
    <row r="138" spans="1:24" x14ac:dyDescent="0.3">
      <c r="A138" s="6">
        <v>138</v>
      </c>
      <c r="B138" s="11">
        <v>44240</v>
      </c>
      <c r="C138" t="s">
        <v>33</v>
      </c>
      <c r="D138" t="s">
        <v>22</v>
      </c>
      <c r="E138" s="6">
        <v>9034945</v>
      </c>
      <c r="F138" s="6">
        <v>2698200</v>
      </c>
      <c r="G138" s="16">
        <v>88844.800000000003</v>
      </c>
      <c r="H138" s="6">
        <v>13491</v>
      </c>
      <c r="I138" s="6">
        <v>219</v>
      </c>
      <c r="J138" s="6">
        <v>26</v>
      </c>
      <c r="K138" s="16">
        <v>176384</v>
      </c>
      <c r="L138" s="8">
        <v>0.9853047111367238</v>
      </c>
      <c r="M138" s="9">
        <v>5.0000000000000001E-3</v>
      </c>
      <c r="N138" s="9">
        <v>1.623304425172337E-2</v>
      </c>
      <c r="O138" s="9">
        <v>0.11872146118721461</v>
      </c>
      <c r="P138" s="7">
        <v>6784</v>
      </c>
      <c r="Q138" s="7">
        <v>6.5854866207101033</v>
      </c>
      <c r="R138" s="7">
        <v>405.68401826484018</v>
      </c>
      <c r="S138" s="7">
        <v>3417.107692307693</v>
      </c>
      <c r="T138" s="16">
        <v>87539.199999999997</v>
      </c>
      <c r="U138" t="s">
        <v>34</v>
      </c>
      <c r="V138" t="s">
        <v>36</v>
      </c>
      <c r="W138" t="s">
        <v>25</v>
      </c>
      <c r="X138" t="b">
        <f t="shared" si="2"/>
        <v>1</v>
      </c>
    </row>
    <row r="139" spans="1:24" x14ac:dyDescent="0.3">
      <c r="A139" s="6">
        <v>139</v>
      </c>
      <c r="B139" s="11">
        <v>44240</v>
      </c>
      <c r="C139" t="s">
        <v>33</v>
      </c>
      <c r="D139" t="s">
        <v>22</v>
      </c>
      <c r="E139" s="6">
        <v>983498</v>
      </c>
      <c r="F139" s="6">
        <v>5100600</v>
      </c>
      <c r="G139" s="16">
        <v>16656.8</v>
      </c>
      <c r="H139" s="6">
        <v>25503</v>
      </c>
      <c r="I139" s="6">
        <v>510</v>
      </c>
      <c r="J139" s="6">
        <v>6</v>
      </c>
      <c r="K139" s="16">
        <v>10134</v>
      </c>
      <c r="L139" s="8">
        <v>-0.39159982709764179</v>
      </c>
      <c r="M139" s="9">
        <v>5.0000000000000001E-3</v>
      </c>
      <c r="N139" s="9">
        <v>1.999764733560758E-2</v>
      </c>
      <c r="O139" s="9">
        <v>1.1764705882352939E-2</v>
      </c>
      <c r="P139" s="7">
        <v>1689</v>
      </c>
      <c r="Q139" s="7">
        <v>0.65313100419558479</v>
      </c>
      <c r="R139" s="7">
        <v>32.660392156862741</v>
      </c>
      <c r="S139" s="7">
        <v>2776.1333333333332</v>
      </c>
      <c r="T139" s="16">
        <v>-6522.7999999999993</v>
      </c>
      <c r="U139" t="s">
        <v>34</v>
      </c>
      <c r="V139" t="s">
        <v>36</v>
      </c>
      <c r="W139" t="s">
        <v>26</v>
      </c>
      <c r="X139" t="b">
        <f t="shared" si="2"/>
        <v>1</v>
      </c>
    </row>
    <row r="140" spans="1:24" x14ac:dyDescent="0.3">
      <c r="A140" s="6">
        <v>149</v>
      </c>
      <c r="B140" s="11">
        <v>44241</v>
      </c>
      <c r="C140" t="s">
        <v>35</v>
      </c>
      <c r="D140" t="s">
        <v>22</v>
      </c>
      <c r="E140" s="6">
        <v>9034945</v>
      </c>
      <c r="F140" s="6">
        <v>3239400</v>
      </c>
      <c r="G140" s="16">
        <v>312844</v>
      </c>
      <c r="H140" s="6">
        <v>16197</v>
      </c>
      <c r="I140" s="6">
        <v>604</v>
      </c>
      <c r="J140" s="6">
        <v>72</v>
      </c>
      <c r="K140" s="16">
        <v>377352</v>
      </c>
      <c r="L140" s="8">
        <v>0.2061986165628876</v>
      </c>
      <c r="M140" s="9">
        <v>5.0000000000000001E-3</v>
      </c>
      <c r="N140" s="9">
        <v>3.7290856331419403E-2</v>
      </c>
      <c r="O140" s="9">
        <v>0.119205298013245</v>
      </c>
      <c r="P140" s="7">
        <v>5241</v>
      </c>
      <c r="Q140" s="7">
        <v>19.314934864481081</v>
      </c>
      <c r="R140" s="7">
        <v>517.95364238410593</v>
      </c>
      <c r="S140" s="7">
        <v>4345.0555555555557</v>
      </c>
      <c r="T140" s="16">
        <v>64508</v>
      </c>
      <c r="U140" t="s">
        <v>34</v>
      </c>
      <c r="V140" t="s">
        <v>36</v>
      </c>
      <c r="W140" t="s">
        <v>25</v>
      </c>
      <c r="X140" t="b">
        <f t="shared" si="2"/>
        <v>1</v>
      </c>
    </row>
    <row r="141" spans="1:24" x14ac:dyDescent="0.3">
      <c r="A141" s="6">
        <v>150</v>
      </c>
      <c r="B141" s="11">
        <v>44241</v>
      </c>
      <c r="C141" t="s">
        <v>35</v>
      </c>
      <c r="D141" t="s">
        <v>22</v>
      </c>
      <c r="E141" s="6">
        <v>983498</v>
      </c>
      <c r="F141" s="6">
        <v>5130500</v>
      </c>
      <c r="G141" s="16">
        <v>218228</v>
      </c>
      <c r="H141" s="6">
        <v>30602</v>
      </c>
      <c r="I141" s="6">
        <v>935</v>
      </c>
      <c r="J141" s="6">
        <v>54</v>
      </c>
      <c r="K141" s="16">
        <v>119718</v>
      </c>
      <c r="L141" s="8">
        <v>-0.45140861850908232</v>
      </c>
      <c r="M141" s="9">
        <v>5.9647207874476173E-3</v>
      </c>
      <c r="N141" s="9">
        <v>3.0553558590941769E-2</v>
      </c>
      <c r="O141" s="9">
        <v>5.7754010695187173E-2</v>
      </c>
      <c r="P141" s="7">
        <v>2217</v>
      </c>
      <c r="Q141" s="7">
        <v>7.1311678975230377</v>
      </c>
      <c r="R141" s="7">
        <v>233.3989304812834</v>
      </c>
      <c r="S141" s="7">
        <v>4041.2592592592591</v>
      </c>
      <c r="T141" s="16">
        <v>-98510</v>
      </c>
      <c r="U141" t="s">
        <v>34</v>
      </c>
      <c r="V141" t="s">
        <v>36</v>
      </c>
      <c r="W141" t="s">
        <v>26</v>
      </c>
      <c r="X141" t="b">
        <f t="shared" si="2"/>
        <v>1</v>
      </c>
    </row>
    <row r="142" spans="1:24" x14ac:dyDescent="0.3">
      <c r="A142" s="6">
        <v>160</v>
      </c>
      <c r="B142" s="11">
        <v>44242</v>
      </c>
      <c r="C142" t="s">
        <v>21</v>
      </c>
      <c r="D142" t="s">
        <v>22</v>
      </c>
      <c r="E142" s="6">
        <v>9034945</v>
      </c>
      <c r="F142" s="6">
        <v>3780200</v>
      </c>
      <c r="G142" s="16">
        <v>136269</v>
      </c>
      <c r="H142" s="6">
        <v>18901</v>
      </c>
      <c r="I142" s="6">
        <v>378</v>
      </c>
      <c r="J142" s="6">
        <v>45</v>
      </c>
      <c r="K142" s="16">
        <v>269145</v>
      </c>
      <c r="L142" s="8">
        <v>0.97510071989961034</v>
      </c>
      <c r="M142" s="9">
        <v>5.0000000000000001E-3</v>
      </c>
      <c r="N142" s="9">
        <v>1.9998941854928311E-2</v>
      </c>
      <c r="O142" s="9">
        <v>0.119047619047619</v>
      </c>
      <c r="P142" s="7">
        <v>5981</v>
      </c>
      <c r="Q142" s="7">
        <v>7.2096185387016556</v>
      </c>
      <c r="R142" s="7">
        <v>360.5</v>
      </c>
      <c r="S142" s="7">
        <v>3028.2</v>
      </c>
      <c r="T142" s="16">
        <v>132876</v>
      </c>
      <c r="U142" t="s">
        <v>23</v>
      </c>
      <c r="V142" t="s">
        <v>36</v>
      </c>
      <c r="W142" t="s">
        <v>25</v>
      </c>
      <c r="X142" t="b">
        <f t="shared" si="2"/>
        <v>1</v>
      </c>
    </row>
    <row r="143" spans="1:24" x14ac:dyDescent="0.3">
      <c r="A143" s="6">
        <v>161</v>
      </c>
      <c r="B143" s="11">
        <v>44242</v>
      </c>
      <c r="C143" t="s">
        <v>21</v>
      </c>
      <c r="D143" t="s">
        <v>22</v>
      </c>
      <c r="E143" s="6">
        <v>983498</v>
      </c>
      <c r="F143" s="6">
        <v>7138400</v>
      </c>
      <c r="G143" s="16">
        <v>37098.6</v>
      </c>
      <c r="H143" s="6">
        <v>35692</v>
      </c>
      <c r="I143" s="6">
        <v>916</v>
      </c>
      <c r="J143" s="6">
        <v>11</v>
      </c>
      <c r="K143" s="16">
        <v>21791</v>
      </c>
      <c r="L143" s="8">
        <v>-0.41261934412619339</v>
      </c>
      <c r="M143" s="9">
        <v>5.0000000000000001E-3</v>
      </c>
      <c r="N143" s="9">
        <v>2.566401434495125E-2</v>
      </c>
      <c r="O143" s="9">
        <v>1.200873362445415E-2</v>
      </c>
      <c r="P143" s="7">
        <v>1981</v>
      </c>
      <c r="Q143" s="7">
        <v>1.0394093914602709</v>
      </c>
      <c r="R143" s="7">
        <v>40.500655021834064</v>
      </c>
      <c r="S143" s="7">
        <v>3372.6</v>
      </c>
      <c r="T143" s="16">
        <v>-15307.6</v>
      </c>
      <c r="U143" t="s">
        <v>23</v>
      </c>
      <c r="V143" t="s">
        <v>36</v>
      </c>
      <c r="W143" t="s">
        <v>26</v>
      </c>
      <c r="X143" t="b">
        <f t="shared" si="2"/>
        <v>1</v>
      </c>
    </row>
    <row r="144" spans="1:24" x14ac:dyDescent="0.3">
      <c r="A144" s="6">
        <v>171</v>
      </c>
      <c r="B144" s="11">
        <v>44243</v>
      </c>
      <c r="C144" t="s">
        <v>29</v>
      </c>
      <c r="D144" t="s">
        <v>22</v>
      </c>
      <c r="E144" s="6">
        <v>9034945</v>
      </c>
      <c r="F144" s="6">
        <v>4319200</v>
      </c>
      <c r="G144" s="16">
        <v>143680</v>
      </c>
      <c r="H144" s="6">
        <v>21596</v>
      </c>
      <c r="I144" s="6">
        <v>432</v>
      </c>
      <c r="J144" s="6">
        <v>34</v>
      </c>
      <c r="K144" s="16">
        <v>171972</v>
      </c>
      <c r="L144" s="8">
        <v>0.1969097995545657</v>
      </c>
      <c r="M144" s="9">
        <v>5.0000000000000001E-3</v>
      </c>
      <c r="N144" s="9">
        <v>2.0003704389701799E-2</v>
      </c>
      <c r="O144" s="9">
        <v>7.8703703703703706E-2</v>
      </c>
      <c r="P144" s="7">
        <v>5058</v>
      </c>
      <c r="Q144" s="7">
        <v>6.6530839044267456</v>
      </c>
      <c r="R144" s="7">
        <v>332.59259259259261</v>
      </c>
      <c r="S144" s="7">
        <v>4225.8823529411766</v>
      </c>
      <c r="T144" s="16">
        <v>28292</v>
      </c>
      <c r="U144" t="s">
        <v>23</v>
      </c>
      <c r="V144" t="s">
        <v>36</v>
      </c>
      <c r="W144" t="s">
        <v>25</v>
      </c>
      <c r="X144" t="b">
        <f t="shared" si="2"/>
        <v>1</v>
      </c>
    </row>
    <row r="145" spans="1:24" x14ac:dyDescent="0.3">
      <c r="A145" s="6">
        <v>172</v>
      </c>
      <c r="B145" s="11">
        <v>44243</v>
      </c>
      <c r="C145" t="s">
        <v>29</v>
      </c>
      <c r="D145" t="s">
        <v>22</v>
      </c>
      <c r="E145" s="6">
        <v>983498</v>
      </c>
      <c r="F145" s="6">
        <v>15988504</v>
      </c>
      <c r="G145" s="16">
        <v>103731</v>
      </c>
      <c r="H145" s="6">
        <v>40794</v>
      </c>
      <c r="I145" s="6">
        <v>816</v>
      </c>
      <c r="J145" s="6">
        <v>24</v>
      </c>
      <c r="K145" s="16">
        <v>41424</v>
      </c>
      <c r="L145" s="8">
        <v>-0.60065939786563327</v>
      </c>
      <c r="M145" s="9">
        <v>2.5514582227330342E-3</v>
      </c>
      <c r="N145" s="9">
        <v>2.000294160906016E-2</v>
      </c>
      <c r="O145" s="9">
        <v>2.9411764705882349E-2</v>
      </c>
      <c r="P145" s="7">
        <v>1726</v>
      </c>
      <c r="Q145" s="7">
        <v>2.5428004118252678</v>
      </c>
      <c r="R145" s="7">
        <v>127.1213235294118</v>
      </c>
      <c r="S145" s="7">
        <v>4322.125</v>
      </c>
      <c r="T145" s="16">
        <v>-62307</v>
      </c>
      <c r="U145" t="s">
        <v>23</v>
      </c>
      <c r="V145" t="s">
        <v>36</v>
      </c>
      <c r="W145" t="s">
        <v>26</v>
      </c>
      <c r="X145" t="b">
        <f t="shared" si="2"/>
        <v>1</v>
      </c>
    </row>
    <row r="146" spans="1:24" x14ac:dyDescent="0.3">
      <c r="A146" s="6">
        <v>182</v>
      </c>
      <c r="B146" s="11">
        <v>44244</v>
      </c>
      <c r="C146" t="s">
        <v>30</v>
      </c>
      <c r="D146" t="s">
        <v>22</v>
      </c>
      <c r="E146" s="6">
        <v>9034945</v>
      </c>
      <c r="F146" s="6">
        <v>4999407</v>
      </c>
      <c r="G146" s="16">
        <v>246023</v>
      </c>
      <c r="H146" s="6">
        <v>24294</v>
      </c>
      <c r="I146" s="6">
        <v>606</v>
      </c>
      <c r="J146" s="6">
        <v>73</v>
      </c>
      <c r="K146" s="16">
        <v>496546</v>
      </c>
      <c r="L146" s="8">
        <v>1.018290972795227</v>
      </c>
      <c r="M146" s="9">
        <v>4.859376322031793E-3</v>
      </c>
      <c r="N146" s="9">
        <v>2.4944430723635461E-2</v>
      </c>
      <c r="O146" s="9">
        <v>0.1204620462046205</v>
      </c>
      <c r="P146" s="7">
        <v>6802</v>
      </c>
      <c r="Q146" s="7">
        <v>10.126903762245821</v>
      </c>
      <c r="R146" s="7">
        <v>405.97854785478552</v>
      </c>
      <c r="S146" s="7">
        <v>3370.178082191781</v>
      </c>
      <c r="T146" s="16">
        <v>250523</v>
      </c>
      <c r="U146" t="s">
        <v>23</v>
      </c>
      <c r="V146" t="s">
        <v>36</v>
      </c>
      <c r="W146" t="s">
        <v>25</v>
      </c>
      <c r="X146" t="b">
        <f t="shared" si="2"/>
        <v>1</v>
      </c>
    </row>
    <row r="147" spans="1:24" x14ac:dyDescent="0.3">
      <c r="A147" s="6">
        <v>183</v>
      </c>
      <c r="B147" s="11">
        <v>44244</v>
      </c>
      <c r="C147" t="s">
        <v>30</v>
      </c>
      <c r="D147" t="s">
        <v>22</v>
      </c>
      <c r="E147" s="6">
        <v>983498</v>
      </c>
      <c r="F147" s="6">
        <v>32964848</v>
      </c>
      <c r="G147" s="16">
        <v>162819</v>
      </c>
      <c r="H147" s="6">
        <v>45907</v>
      </c>
      <c r="I147" s="6">
        <v>974</v>
      </c>
      <c r="J147" s="6">
        <v>46</v>
      </c>
      <c r="K147" s="16">
        <v>121900</v>
      </c>
      <c r="L147" s="8">
        <v>-0.25131587836800368</v>
      </c>
      <c r="M147" s="9">
        <v>1.3926046314546941E-3</v>
      </c>
      <c r="N147" s="9">
        <v>2.121680789422092E-2</v>
      </c>
      <c r="O147" s="9">
        <v>4.7227926078028747E-2</v>
      </c>
      <c r="P147" s="7">
        <v>2650</v>
      </c>
      <c r="Q147" s="7">
        <v>3.546714008756835</v>
      </c>
      <c r="R147" s="7">
        <v>167.16529774127309</v>
      </c>
      <c r="S147" s="7">
        <v>3539.54347826087</v>
      </c>
      <c r="T147" s="16">
        <v>-40919</v>
      </c>
      <c r="U147" t="s">
        <v>23</v>
      </c>
      <c r="V147" t="s">
        <v>36</v>
      </c>
      <c r="W147" t="s">
        <v>26</v>
      </c>
      <c r="X147" t="b">
        <f t="shared" si="2"/>
        <v>1</v>
      </c>
    </row>
    <row r="148" spans="1:24" x14ac:dyDescent="0.3">
      <c r="A148" s="6">
        <v>193</v>
      </c>
      <c r="B148" s="11">
        <v>44245</v>
      </c>
      <c r="C148" t="s">
        <v>31</v>
      </c>
      <c r="D148" t="s">
        <v>22</v>
      </c>
      <c r="E148" s="6">
        <v>9034945</v>
      </c>
      <c r="F148" s="6">
        <v>11212959</v>
      </c>
      <c r="G148" s="16">
        <v>241388</v>
      </c>
      <c r="H148" s="6">
        <v>27009</v>
      </c>
      <c r="I148" s="6">
        <v>599</v>
      </c>
      <c r="J148" s="6">
        <v>72</v>
      </c>
      <c r="K148" s="16">
        <v>430632</v>
      </c>
      <c r="L148" s="8">
        <v>0.78398263376804145</v>
      </c>
      <c r="M148" s="9">
        <v>2.4087308265374019E-3</v>
      </c>
      <c r="N148" s="9">
        <v>2.2177792587655971E-2</v>
      </c>
      <c r="O148" s="9">
        <v>0.12020033388981639</v>
      </c>
      <c r="P148" s="7">
        <v>5981</v>
      </c>
      <c r="Q148" s="7">
        <v>8.9373171905661071</v>
      </c>
      <c r="R148" s="7">
        <v>402.98497495826382</v>
      </c>
      <c r="S148" s="7">
        <v>3352.6111111111109</v>
      </c>
      <c r="T148" s="16">
        <v>189244</v>
      </c>
      <c r="U148" t="s">
        <v>23</v>
      </c>
      <c r="V148" t="s">
        <v>36</v>
      </c>
      <c r="W148" t="s">
        <v>25</v>
      </c>
      <c r="X148" t="b">
        <f t="shared" si="2"/>
        <v>1</v>
      </c>
    </row>
    <row r="149" spans="1:24" x14ac:dyDescent="0.3">
      <c r="A149" s="6">
        <v>194</v>
      </c>
      <c r="B149" s="11">
        <v>44245</v>
      </c>
      <c r="C149" t="s">
        <v>31</v>
      </c>
      <c r="D149" t="s">
        <v>22</v>
      </c>
      <c r="E149" s="6">
        <v>983498</v>
      </c>
      <c r="F149" s="6">
        <v>13281923</v>
      </c>
      <c r="G149" s="16">
        <v>58596.4</v>
      </c>
      <c r="H149" s="6">
        <v>51000</v>
      </c>
      <c r="I149" s="6">
        <v>1020</v>
      </c>
      <c r="J149" s="6">
        <v>16</v>
      </c>
      <c r="K149" s="16">
        <v>36016</v>
      </c>
      <c r="L149" s="8">
        <v>-0.38535473169000151</v>
      </c>
      <c r="M149" s="9">
        <v>3.8398054257655309E-3</v>
      </c>
      <c r="N149" s="9">
        <v>0.02</v>
      </c>
      <c r="O149" s="9">
        <v>1.5686274509803921E-2</v>
      </c>
      <c r="P149" s="7">
        <v>2251</v>
      </c>
      <c r="Q149" s="7">
        <v>1.1489490196078429</v>
      </c>
      <c r="R149" s="7">
        <v>57.447450980392148</v>
      </c>
      <c r="S149" s="7">
        <v>3662.2750000000001</v>
      </c>
      <c r="T149" s="16">
        <v>-22580.400000000001</v>
      </c>
      <c r="U149" t="s">
        <v>23</v>
      </c>
      <c r="V149" t="s">
        <v>36</v>
      </c>
      <c r="W149" t="s">
        <v>26</v>
      </c>
      <c r="X149" t="b">
        <f t="shared" si="2"/>
        <v>1</v>
      </c>
    </row>
    <row r="150" spans="1:24" x14ac:dyDescent="0.3">
      <c r="A150" s="6">
        <v>204</v>
      </c>
      <c r="B150" s="11">
        <v>44246</v>
      </c>
      <c r="C150" t="s">
        <v>32</v>
      </c>
      <c r="D150" t="s">
        <v>22</v>
      </c>
      <c r="E150" s="6">
        <v>9034945</v>
      </c>
      <c r="F150" s="6">
        <v>6168252</v>
      </c>
      <c r="G150" s="16">
        <v>300775</v>
      </c>
      <c r="H150" s="6">
        <v>29699</v>
      </c>
      <c r="I150" s="6">
        <v>1082</v>
      </c>
      <c r="J150" s="6">
        <v>96</v>
      </c>
      <c r="K150" s="16">
        <v>574176</v>
      </c>
      <c r="L150" s="8">
        <v>0.90898844651317434</v>
      </c>
      <c r="M150" s="9">
        <v>4.8148162558857843E-3</v>
      </c>
      <c r="N150" s="9">
        <v>3.6432203104481628E-2</v>
      </c>
      <c r="O150" s="9">
        <v>8.8724584103512014E-2</v>
      </c>
      <c r="P150" s="7">
        <v>5981</v>
      </c>
      <c r="Q150" s="7">
        <v>10.12744536853093</v>
      </c>
      <c r="R150" s="7">
        <v>277.98059149722741</v>
      </c>
      <c r="S150" s="7">
        <v>3133.072916666667</v>
      </c>
      <c r="T150" s="16">
        <v>273401</v>
      </c>
      <c r="U150" t="s">
        <v>23</v>
      </c>
      <c r="V150" t="s">
        <v>36</v>
      </c>
      <c r="W150" t="s">
        <v>25</v>
      </c>
      <c r="X150" t="b">
        <f t="shared" si="2"/>
        <v>1</v>
      </c>
    </row>
    <row r="151" spans="1:24" x14ac:dyDescent="0.3">
      <c r="A151" s="6">
        <v>205</v>
      </c>
      <c r="B151" s="11">
        <v>44246</v>
      </c>
      <c r="C151" t="s">
        <v>32</v>
      </c>
      <c r="D151" t="s">
        <v>22</v>
      </c>
      <c r="E151" s="6">
        <v>983498</v>
      </c>
      <c r="F151" s="6">
        <v>11222000</v>
      </c>
      <c r="G151" s="16">
        <v>9908.98</v>
      </c>
      <c r="H151" s="6">
        <v>56110</v>
      </c>
      <c r="I151" s="6">
        <v>185</v>
      </c>
      <c r="J151" s="6">
        <v>3</v>
      </c>
      <c r="K151" s="16">
        <v>3621</v>
      </c>
      <c r="L151" s="8">
        <v>-0.63457389156098809</v>
      </c>
      <c r="M151" s="9">
        <v>5.0000000000000001E-3</v>
      </c>
      <c r="N151" s="9">
        <v>3.2970949919800389E-3</v>
      </c>
      <c r="O151" s="9">
        <v>1.6216216216216221E-2</v>
      </c>
      <c r="P151" s="7">
        <v>1207</v>
      </c>
      <c r="Q151" s="7">
        <v>0.1765991801817858</v>
      </c>
      <c r="R151" s="7">
        <v>53.562054054054052</v>
      </c>
      <c r="S151" s="7">
        <v>3302.9933333333329</v>
      </c>
      <c r="T151" s="16">
        <v>-6287.98</v>
      </c>
      <c r="U151" t="s">
        <v>23</v>
      </c>
      <c r="V151" t="s">
        <v>36</v>
      </c>
      <c r="W151" t="s">
        <v>26</v>
      </c>
      <c r="X151" t="b">
        <f t="shared" si="2"/>
        <v>1</v>
      </c>
    </row>
    <row r="152" spans="1:24" x14ac:dyDescent="0.3">
      <c r="A152" s="6">
        <v>215</v>
      </c>
      <c r="B152" s="11">
        <v>44247</v>
      </c>
      <c r="C152" t="s">
        <v>33</v>
      </c>
      <c r="D152" t="s">
        <v>22</v>
      </c>
      <c r="E152" s="6">
        <v>9034945</v>
      </c>
      <c r="F152" s="6">
        <v>7669421</v>
      </c>
      <c r="G152" s="16">
        <v>404737</v>
      </c>
      <c r="H152" s="6">
        <v>32395</v>
      </c>
      <c r="I152" s="6">
        <v>1003</v>
      </c>
      <c r="J152" s="6">
        <v>139</v>
      </c>
      <c r="K152" s="16">
        <v>847066</v>
      </c>
      <c r="L152" s="8">
        <v>1.0928800677971131</v>
      </c>
      <c r="M152" s="9">
        <v>4.2239172944085347E-3</v>
      </c>
      <c r="N152" s="9">
        <v>3.096156814323198E-2</v>
      </c>
      <c r="O152" s="9">
        <v>0.1385842472582253</v>
      </c>
      <c r="P152" s="7">
        <v>6094</v>
      </c>
      <c r="Q152" s="7">
        <v>12.49381077326748</v>
      </c>
      <c r="R152" s="7">
        <v>403.52642073778662</v>
      </c>
      <c r="S152" s="7">
        <v>2911.776978417266</v>
      </c>
      <c r="T152" s="16">
        <v>442329</v>
      </c>
      <c r="U152" t="s">
        <v>34</v>
      </c>
      <c r="V152" t="s">
        <v>36</v>
      </c>
      <c r="W152" t="s">
        <v>25</v>
      </c>
      <c r="X152" t="b">
        <f t="shared" si="2"/>
        <v>1</v>
      </c>
    </row>
    <row r="153" spans="1:24" x14ac:dyDescent="0.3">
      <c r="A153" s="6">
        <v>216</v>
      </c>
      <c r="B153" s="11">
        <v>44247</v>
      </c>
      <c r="C153" t="s">
        <v>33</v>
      </c>
      <c r="D153" t="s">
        <v>22</v>
      </c>
      <c r="E153" s="6">
        <v>983498</v>
      </c>
      <c r="F153" s="6">
        <v>12239000</v>
      </c>
      <c r="G153" s="16">
        <v>150065</v>
      </c>
      <c r="H153" s="6">
        <v>61195</v>
      </c>
      <c r="I153" s="6">
        <v>1224</v>
      </c>
      <c r="J153" s="6">
        <v>48</v>
      </c>
      <c r="K153" s="16">
        <v>73392</v>
      </c>
      <c r="L153" s="8">
        <v>-0.51093192949721788</v>
      </c>
      <c r="M153" s="9">
        <v>5.0000000000000001E-3</v>
      </c>
      <c r="N153" s="9">
        <v>2.000163412043468E-2</v>
      </c>
      <c r="O153" s="9">
        <v>3.9215686274509803E-2</v>
      </c>
      <c r="P153" s="7">
        <v>1529</v>
      </c>
      <c r="Q153" s="7">
        <v>2.4522428302965928</v>
      </c>
      <c r="R153" s="7">
        <v>122.6021241830065</v>
      </c>
      <c r="S153" s="7">
        <v>3126.354166666667</v>
      </c>
      <c r="T153" s="16">
        <v>-76673</v>
      </c>
      <c r="U153" t="s">
        <v>34</v>
      </c>
      <c r="V153" t="s">
        <v>36</v>
      </c>
      <c r="W153" t="s">
        <v>26</v>
      </c>
      <c r="X153" t="b">
        <f t="shared" si="2"/>
        <v>1</v>
      </c>
    </row>
    <row r="154" spans="1:24" x14ac:dyDescent="0.3">
      <c r="A154" s="6">
        <v>226</v>
      </c>
      <c r="B154" s="11">
        <v>44248</v>
      </c>
      <c r="C154" t="s">
        <v>35</v>
      </c>
      <c r="D154" t="s">
        <v>22</v>
      </c>
      <c r="E154" s="6">
        <v>9034945</v>
      </c>
      <c r="F154" s="6">
        <v>555915</v>
      </c>
      <c r="G154" s="16">
        <v>29457.5</v>
      </c>
      <c r="H154" s="6">
        <v>2709</v>
      </c>
      <c r="I154" s="6">
        <v>60</v>
      </c>
      <c r="J154" s="6">
        <v>10</v>
      </c>
      <c r="K154" s="16">
        <v>55540</v>
      </c>
      <c r="L154" s="8">
        <v>0.88542815921242468</v>
      </c>
      <c r="M154" s="9">
        <v>4.8730471385013893E-3</v>
      </c>
      <c r="N154" s="9">
        <v>2.2148394241417499E-2</v>
      </c>
      <c r="O154" s="9">
        <v>0.16666666666666671</v>
      </c>
      <c r="P154" s="7">
        <v>5554</v>
      </c>
      <c r="Q154" s="7">
        <v>10.873938722775931</v>
      </c>
      <c r="R154" s="7">
        <v>490.95833333333331</v>
      </c>
      <c r="S154" s="7">
        <v>2945.75</v>
      </c>
      <c r="T154" s="16">
        <v>26082.5</v>
      </c>
      <c r="U154" t="s">
        <v>34</v>
      </c>
      <c r="V154" t="s">
        <v>36</v>
      </c>
      <c r="W154" t="s">
        <v>25</v>
      </c>
      <c r="X154" t="b">
        <f t="shared" si="2"/>
        <v>1</v>
      </c>
    </row>
    <row r="155" spans="1:24" x14ac:dyDescent="0.3">
      <c r="A155" s="6">
        <v>227</v>
      </c>
      <c r="B155" s="11">
        <v>44248</v>
      </c>
      <c r="C155" t="s">
        <v>35</v>
      </c>
      <c r="D155" t="s">
        <v>22</v>
      </c>
      <c r="E155" s="6">
        <v>983498</v>
      </c>
      <c r="F155" s="6">
        <v>781353</v>
      </c>
      <c r="G155" s="16">
        <v>12503.5</v>
      </c>
      <c r="H155" s="6">
        <v>5104</v>
      </c>
      <c r="I155" s="6">
        <v>102</v>
      </c>
      <c r="J155" s="6">
        <v>4</v>
      </c>
      <c r="K155" s="16">
        <v>7924</v>
      </c>
      <c r="L155" s="8">
        <v>-0.36625744791458392</v>
      </c>
      <c r="M155" s="9">
        <v>6.5322587870015221E-3</v>
      </c>
      <c r="N155" s="9">
        <v>1.9984326018808781E-2</v>
      </c>
      <c r="O155" s="9">
        <v>3.9215686274509803E-2</v>
      </c>
      <c r="P155" s="7">
        <v>1981</v>
      </c>
      <c r="Q155" s="7">
        <v>2.449745297805642</v>
      </c>
      <c r="R155" s="7">
        <v>122.5833333333333</v>
      </c>
      <c r="S155" s="7">
        <v>3125.875</v>
      </c>
      <c r="T155" s="16">
        <v>-4579.5</v>
      </c>
      <c r="U155" t="s">
        <v>34</v>
      </c>
      <c r="V155" t="s">
        <v>36</v>
      </c>
      <c r="W155" t="s">
        <v>26</v>
      </c>
      <c r="X155" t="b">
        <f t="shared" si="2"/>
        <v>1</v>
      </c>
    </row>
    <row r="156" spans="1:24" x14ac:dyDescent="0.3">
      <c r="A156" s="6">
        <v>237</v>
      </c>
      <c r="B156" s="11">
        <v>44249</v>
      </c>
      <c r="C156" t="s">
        <v>21</v>
      </c>
      <c r="D156" t="s">
        <v>22</v>
      </c>
      <c r="E156" s="6">
        <v>9034945</v>
      </c>
      <c r="F156" s="6">
        <v>4565811</v>
      </c>
      <c r="G156" s="16">
        <v>33474.699999999997</v>
      </c>
      <c r="H156" s="6">
        <v>5397</v>
      </c>
      <c r="I156" s="6">
        <v>108</v>
      </c>
      <c r="J156" s="6">
        <v>9</v>
      </c>
      <c r="K156" s="16">
        <v>53829</v>
      </c>
      <c r="L156" s="8">
        <v>0.60805025885220798</v>
      </c>
      <c r="M156" s="9">
        <v>1.182046300208222E-3</v>
      </c>
      <c r="N156" s="9">
        <v>2.0011117287381881E-2</v>
      </c>
      <c r="O156" s="9">
        <v>8.3333333333333329E-2</v>
      </c>
      <c r="P156" s="7">
        <v>5981</v>
      </c>
      <c r="Q156" s="7">
        <v>6.2024643320363158</v>
      </c>
      <c r="R156" s="7">
        <v>309.9509259259259</v>
      </c>
      <c r="S156" s="7">
        <v>3719.411111111111</v>
      </c>
      <c r="T156" s="16">
        <v>20354.3</v>
      </c>
      <c r="U156" t="s">
        <v>23</v>
      </c>
      <c r="V156" t="s">
        <v>36</v>
      </c>
      <c r="W156" t="s">
        <v>25</v>
      </c>
      <c r="X156" t="b">
        <f t="shared" si="2"/>
        <v>1</v>
      </c>
    </row>
    <row r="157" spans="1:24" x14ac:dyDescent="0.3">
      <c r="A157" s="6">
        <v>238</v>
      </c>
      <c r="B157" s="11">
        <v>44249</v>
      </c>
      <c r="C157" t="s">
        <v>21</v>
      </c>
      <c r="D157" t="s">
        <v>22</v>
      </c>
      <c r="E157" s="6">
        <v>983498</v>
      </c>
      <c r="F157" s="6">
        <v>2190892</v>
      </c>
      <c r="G157" s="16">
        <v>19196.599999999999</v>
      </c>
      <c r="H157" s="6">
        <v>10202</v>
      </c>
      <c r="I157" s="6">
        <v>124</v>
      </c>
      <c r="J157" s="6">
        <v>7</v>
      </c>
      <c r="K157" s="16">
        <v>14602</v>
      </c>
      <c r="L157" s="8">
        <v>-0.23934446724940869</v>
      </c>
      <c r="M157" s="9">
        <v>4.656550847782547E-3</v>
      </c>
      <c r="N157" s="9">
        <v>1.215447951382082E-2</v>
      </c>
      <c r="O157" s="9">
        <v>5.6451612903225798E-2</v>
      </c>
      <c r="P157" s="7">
        <v>2086</v>
      </c>
      <c r="Q157" s="7">
        <v>1.8816506567339739</v>
      </c>
      <c r="R157" s="7">
        <v>154.81129032258059</v>
      </c>
      <c r="S157" s="7">
        <v>2742.3714285714282</v>
      </c>
      <c r="T157" s="16">
        <v>-4594.5999999999995</v>
      </c>
      <c r="U157" t="s">
        <v>23</v>
      </c>
      <c r="V157" t="s">
        <v>36</v>
      </c>
      <c r="W157" t="s">
        <v>26</v>
      </c>
      <c r="X157" t="b">
        <f t="shared" si="2"/>
        <v>1</v>
      </c>
    </row>
    <row r="158" spans="1:24" x14ac:dyDescent="0.3">
      <c r="A158" s="6">
        <v>248</v>
      </c>
      <c r="B158" s="11">
        <v>44250</v>
      </c>
      <c r="C158" t="s">
        <v>29</v>
      </c>
      <c r="D158" t="s">
        <v>22</v>
      </c>
      <c r="E158" s="6">
        <v>9034945</v>
      </c>
      <c r="F158" s="6">
        <v>536236</v>
      </c>
      <c r="G158" s="16">
        <v>557.25</v>
      </c>
      <c r="H158" s="6">
        <v>1349</v>
      </c>
      <c r="I158" s="6">
        <v>1</v>
      </c>
      <c r="J158" s="6">
        <v>0</v>
      </c>
      <c r="K158" s="16">
        <v>0</v>
      </c>
      <c r="L158" s="8">
        <v>0</v>
      </c>
      <c r="M158" s="9">
        <v>2.5156833931328738E-3</v>
      </c>
      <c r="N158" s="9">
        <v>7.4128984432913266E-4</v>
      </c>
      <c r="O158" s="9">
        <v>0</v>
      </c>
      <c r="P158" s="7">
        <v>0</v>
      </c>
      <c r="Q158" s="7">
        <v>0.41308376575240918</v>
      </c>
      <c r="R158" s="7">
        <v>557.25</v>
      </c>
      <c r="S158" s="7">
        <v>0</v>
      </c>
      <c r="T158" s="16">
        <v>0</v>
      </c>
      <c r="U158" t="s">
        <v>23</v>
      </c>
      <c r="V158" t="s">
        <v>36</v>
      </c>
      <c r="W158" t="s">
        <v>25</v>
      </c>
      <c r="X158" t="b">
        <f t="shared" si="2"/>
        <v>1</v>
      </c>
    </row>
    <row r="159" spans="1:24" x14ac:dyDescent="0.3">
      <c r="A159" s="6">
        <v>249</v>
      </c>
      <c r="B159" s="11">
        <v>44250</v>
      </c>
      <c r="C159" t="s">
        <v>29</v>
      </c>
      <c r="D159" t="s">
        <v>22</v>
      </c>
      <c r="E159" s="6">
        <v>983498</v>
      </c>
      <c r="F159" s="6">
        <v>512000</v>
      </c>
      <c r="G159" s="16">
        <v>4285.4399999999996</v>
      </c>
      <c r="H159" s="6">
        <v>2560</v>
      </c>
      <c r="I159" s="6">
        <v>51</v>
      </c>
      <c r="J159" s="6">
        <v>2</v>
      </c>
      <c r="K159" s="16">
        <v>2934</v>
      </c>
      <c r="L159" s="8">
        <v>-0.31535618279569888</v>
      </c>
      <c r="M159" s="9">
        <v>5.0000000000000001E-3</v>
      </c>
      <c r="N159" s="9">
        <v>1.9921874999999999E-2</v>
      </c>
      <c r="O159" s="9">
        <v>3.9215686274509803E-2</v>
      </c>
      <c r="P159" s="7">
        <v>1467</v>
      </c>
      <c r="Q159" s="7">
        <v>1.6739999999999999</v>
      </c>
      <c r="R159" s="7">
        <v>84.028235294117636</v>
      </c>
      <c r="S159" s="7">
        <v>2142.7199999999998</v>
      </c>
      <c r="T159" s="16">
        <v>-1351.44</v>
      </c>
      <c r="U159" t="s">
        <v>23</v>
      </c>
      <c r="V159" t="s">
        <v>36</v>
      </c>
      <c r="W159" t="s">
        <v>26</v>
      </c>
      <c r="X159" t="b">
        <f t="shared" si="2"/>
        <v>1</v>
      </c>
    </row>
    <row r="160" spans="1:24" x14ac:dyDescent="0.3">
      <c r="A160" s="6">
        <v>259</v>
      </c>
      <c r="B160" s="11">
        <v>44251</v>
      </c>
      <c r="C160" t="s">
        <v>30</v>
      </c>
      <c r="D160" t="s">
        <v>22</v>
      </c>
      <c r="E160" s="6">
        <v>9034945</v>
      </c>
      <c r="F160" s="6">
        <v>869482</v>
      </c>
      <c r="G160" s="16">
        <v>23908.400000000001</v>
      </c>
      <c r="H160" s="6">
        <v>2703</v>
      </c>
      <c r="I160" s="6">
        <v>42</v>
      </c>
      <c r="J160" s="6">
        <v>7</v>
      </c>
      <c r="K160" s="16">
        <v>36456</v>
      </c>
      <c r="L160" s="8">
        <v>0.52481972863094128</v>
      </c>
      <c r="M160" s="9">
        <v>3.1087475071364329E-3</v>
      </c>
      <c r="N160" s="9">
        <v>1.5538290788013319E-2</v>
      </c>
      <c r="O160" s="9">
        <v>0.16666666666666671</v>
      </c>
      <c r="P160" s="7">
        <v>5208</v>
      </c>
      <c r="Q160" s="7">
        <v>8.845135035146134</v>
      </c>
      <c r="R160" s="7">
        <v>569.24761904761908</v>
      </c>
      <c r="S160" s="7">
        <v>3415.485714285714</v>
      </c>
      <c r="T160" s="16">
        <v>12547.6</v>
      </c>
      <c r="U160" t="s">
        <v>23</v>
      </c>
      <c r="V160" t="s">
        <v>36</v>
      </c>
      <c r="W160" t="s">
        <v>25</v>
      </c>
      <c r="X160" t="b">
        <f t="shared" si="2"/>
        <v>1</v>
      </c>
    </row>
    <row r="161" spans="1:24" x14ac:dyDescent="0.3">
      <c r="A161" s="6">
        <v>260</v>
      </c>
      <c r="B161" s="11">
        <v>44251</v>
      </c>
      <c r="C161" t="s">
        <v>30</v>
      </c>
      <c r="D161" t="s">
        <v>22</v>
      </c>
      <c r="E161" s="6">
        <v>983498</v>
      </c>
      <c r="F161" s="6">
        <v>624157</v>
      </c>
      <c r="G161" s="16">
        <v>18675</v>
      </c>
      <c r="H161" s="6">
        <v>5098</v>
      </c>
      <c r="I161" s="6">
        <v>122</v>
      </c>
      <c r="J161" s="6">
        <v>6</v>
      </c>
      <c r="K161" s="16">
        <v>10590</v>
      </c>
      <c r="L161" s="8">
        <v>-0.43293172690763049</v>
      </c>
      <c r="M161" s="9">
        <v>8.1678167512340642E-3</v>
      </c>
      <c r="N161" s="9">
        <v>2.39309533150255E-2</v>
      </c>
      <c r="O161" s="9">
        <v>4.9180327868852458E-2</v>
      </c>
      <c r="P161" s="7">
        <v>1765</v>
      </c>
      <c r="Q161" s="7">
        <v>3.6632012553942719</v>
      </c>
      <c r="R161" s="7">
        <v>153.07377049180329</v>
      </c>
      <c r="S161" s="7">
        <v>3112.5</v>
      </c>
      <c r="T161" s="16">
        <v>-8085</v>
      </c>
      <c r="U161" t="s">
        <v>23</v>
      </c>
      <c r="V161" t="s">
        <v>36</v>
      </c>
      <c r="W161" t="s">
        <v>26</v>
      </c>
      <c r="X161" t="b">
        <f t="shared" si="2"/>
        <v>1</v>
      </c>
    </row>
    <row r="162" spans="1:24" x14ac:dyDescent="0.3">
      <c r="A162" s="6">
        <v>270</v>
      </c>
      <c r="B162" s="11">
        <v>44252</v>
      </c>
      <c r="C162" t="s">
        <v>31</v>
      </c>
      <c r="D162" t="s">
        <v>22</v>
      </c>
      <c r="E162" s="6">
        <v>9034945</v>
      </c>
      <c r="F162" s="6">
        <v>106000</v>
      </c>
      <c r="G162" s="16">
        <v>2304.0100000000002</v>
      </c>
      <c r="H162" s="6">
        <v>530</v>
      </c>
      <c r="I162" s="6">
        <v>6</v>
      </c>
      <c r="J162" s="6">
        <v>1</v>
      </c>
      <c r="K162" s="16">
        <v>5981</v>
      </c>
      <c r="L162" s="8">
        <v>1.595908871923299</v>
      </c>
      <c r="M162" s="9">
        <v>5.0000000000000001E-3</v>
      </c>
      <c r="N162" s="9">
        <v>1.132075471698113E-2</v>
      </c>
      <c r="O162" s="9">
        <v>0.16666666666666671</v>
      </c>
      <c r="P162" s="7">
        <v>5981</v>
      </c>
      <c r="Q162" s="7">
        <v>4.3471886792452832</v>
      </c>
      <c r="R162" s="7">
        <v>384.00166666666672</v>
      </c>
      <c r="S162" s="7">
        <v>2304.0100000000002</v>
      </c>
      <c r="T162" s="16">
        <v>3676.99</v>
      </c>
      <c r="U162" t="s">
        <v>23</v>
      </c>
      <c r="V162" t="s">
        <v>36</v>
      </c>
      <c r="W162" t="s">
        <v>25</v>
      </c>
      <c r="X162" t="b">
        <f t="shared" si="2"/>
        <v>1</v>
      </c>
    </row>
    <row r="163" spans="1:24" x14ac:dyDescent="0.3">
      <c r="A163" s="6">
        <v>271</v>
      </c>
      <c r="B163" s="11">
        <v>44252</v>
      </c>
      <c r="C163" t="s">
        <v>31</v>
      </c>
      <c r="D163" t="s">
        <v>22</v>
      </c>
      <c r="E163" s="6">
        <v>983498</v>
      </c>
      <c r="F163" s="6">
        <v>115468</v>
      </c>
      <c r="G163" s="16">
        <v>2059.0300000000002</v>
      </c>
      <c r="H163" s="6">
        <v>1015</v>
      </c>
      <c r="I163" s="6">
        <v>20</v>
      </c>
      <c r="J163" s="6">
        <v>1</v>
      </c>
      <c r="K163" s="16">
        <v>1981</v>
      </c>
      <c r="L163" s="8">
        <v>-3.7896485238194777E-2</v>
      </c>
      <c r="M163" s="9">
        <v>8.7903141996050847E-3</v>
      </c>
      <c r="N163" s="9">
        <v>1.970443349753695E-2</v>
      </c>
      <c r="O163" s="9">
        <v>0.05</v>
      </c>
      <c r="P163" s="7">
        <v>1981</v>
      </c>
      <c r="Q163" s="7">
        <v>2.0286009852216749</v>
      </c>
      <c r="R163" s="7">
        <v>102.9515</v>
      </c>
      <c r="S163" s="7">
        <v>2059.0300000000002</v>
      </c>
      <c r="T163" s="16">
        <v>-78.0300000000002</v>
      </c>
      <c r="U163" t="s">
        <v>23</v>
      </c>
      <c r="V163" t="s">
        <v>36</v>
      </c>
      <c r="W163" t="s">
        <v>26</v>
      </c>
      <c r="X163" t="b">
        <f t="shared" si="2"/>
        <v>1</v>
      </c>
    </row>
    <row r="164" spans="1:24" x14ac:dyDescent="0.3">
      <c r="A164" s="6">
        <v>281</v>
      </c>
      <c r="B164" s="11">
        <v>44253</v>
      </c>
      <c r="C164" t="s">
        <v>32</v>
      </c>
      <c r="D164" t="s">
        <v>22</v>
      </c>
      <c r="E164" s="6">
        <v>9034945</v>
      </c>
      <c r="F164" s="6">
        <v>174375</v>
      </c>
      <c r="G164" s="16">
        <v>12592.4</v>
      </c>
      <c r="H164" s="6">
        <v>1342</v>
      </c>
      <c r="I164" s="6">
        <v>27</v>
      </c>
      <c r="J164" s="6">
        <v>4</v>
      </c>
      <c r="K164" s="16">
        <v>26556</v>
      </c>
      <c r="L164" s="8">
        <v>1.108891077157651</v>
      </c>
      <c r="M164" s="9">
        <v>7.6960573476702512E-3</v>
      </c>
      <c r="N164" s="9">
        <v>2.0119225037257819E-2</v>
      </c>
      <c r="O164" s="9">
        <v>0.14814814814814811</v>
      </c>
      <c r="P164" s="7">
        <v>6639</v>
      </c>
      <c r="Q164" s="7">
        <v>9.3833084947839041</v>
      </c>
      <c r="R164" s="7">
        <v>466.38518518518521</v>
      </c>
      <c r="S164" s="7">
        <v>3148.1</v>
      </c>
      <c r="T164" s="16">
        <v>13963.6</v>
      </c>
      <c r="U164" t="s">
        <v>23</v>
      </c>
      <c r="V164" t="s">
        <v>36</v>
      </c>
      <c r="W164" t="s">
        <v>25</v>
      </c>
      <c r="X164" t="b">
        <f t="shared" si="2"/>
        <v>1</v>
      </c>
    </row>
    <row r="165" spans="1:24" x14ac:dyDescent="0.3">
      <c r="A165" s="6">
        <v>282</v>
      </c>
      <c r="B165" s="11">
        <v>44253</v>
      </c>
      <c r="C165" t="s">
        <v>32</v>
      </c>
      <c r="D165" t="s">
        <v>22</v>
      </c>
      <c r="E165" s="6">
        <v>983498</v>
      </c>
      <c r="F165" s="6">
        <v>508600</v>
      </c>
      <c r="G165" s="16">
        <v>2403.54</v>
      </c>
      <c r="H165" s="6">
        <v>2543</v>
      </c>
      <c r="I165" s="6">
        <v>73</v>
      </c>
      <c r="J165" s="6">
        <v>1</v>
      </c>
      <c r="K165" s="16">
        <v>1981</v>
      </c>
      <c r="L165" s="8">
        <v>-0.17579902976443079</v>
      </c>
      <c r="M165" s="9">
        <v>5.0000000000000001E-3</v>
      </c>
      <c r="N165" s="9">
        <v>2.870625245772709E-2</v>
      </c>
      <c r="O165" s="9">
        <v>1.3698630136986301E-2</v>
      </c>
      <c r="P165" s="7">
        <v>1981</v>
      </c>
      <c r="Q165" s="7">
        <v>0.94515926071569012</v>
      </c>
      <c r="R165" s="7">
        <v>32.925205479452053</v>
      </c>
      <c r="S165" s="7">
        <v>2403.54</v>
      </c>
      <c r="T165" s="16">
        <v>-422.54</v>
      </c>
      <c r="U165" t="s">
        <v>23</v>
      </c>
      <c r="V165" t="s">
        <v>36</v>
      </c>
      <c r="W165" t="s">
        <v>26</v>
      </c>
      <c r="X165" t="b">
        <f t="shared" si="2"/>
        <v>1</v>
      </c>
    </row>
    <row r="166" spans="1:24" x14ac:dyDescent="0.3">
      <c r="A166" s="6">
        <v>292</v>
      </c>
      <c r="B166" s="11">
        <v>44254</v>
      </c>
      <c r="C166" t="s">
        <v>33</v>
      </c>
      <c r="D166" t="s">
        <v>22</v>
      </c>
      <c r="E166" s="6">
        <v>9034945</v>
      </c>
      <c r="F166" s="6">
        <v>44112</v>
      </c>
      <c r="G166" s="16">
        <v>1832.16</v>
      </c>
      <c r="H166" s="6">
        <v>275</v>
      </c>
      <c r="I166" s="6">
        <v>6</v>
      </c>
      <c r="J166" s="6">
        <v>1</v>
      </c>
      <c r="K166" s="16">
        <v>5981</v>
      </c>
      <c r="L166" s="8">
        <v>2.2644528862108109</v>
      </c>
      <c r="M166" s="9">
        <v>6.234131302140007E-3</v>
      </c>
      <c r="N166" s="9">
        <v>2.181818181818182E-2</v>
      </c>
      <c r="O166" s="9">
        <v>0.16666666666666671</v>
      </c>
      <c r="P166" s="7">
        <v>5981</v>
      </c>
      <c r="Q166" s="7">
        <v>6.6623999999999999</v>
      </c>
      <c r="R166" s="7">
        <v>305.36</v>
      </c>
      <c r="S166" s="7">
        <v>1832.16</v>
      </c>
      <c r="T166" s="16">
        <v>4148.84</v>
      </c>
      <c r="U166" t="s">
        <v>34</v>
      </c>
      <c r="V166" t="s">
        <v>36</v>
      </c>
      <c r="W166" t="s">
        <v>25</v>
      </c>
      <c r="X166" t="b">
        <f t="shared" si="2"/>
        <v>1</v>
      </c>
    </row>
    <row r="167" spans="1:24" x14ac:dyDescent="0.3">
      <c r="A167" s="6">
        <v>293</v>
      </c>
      <c r="B167" s="11">
        <v>44254</v>
      </c>
      <c r="C167" t="s">
        <v>33</v>
      </c>
      <c r="D167" t="s">
        <v>22</v>
      </c>
      <c r="E167" s="6">
        <v>983498</v>
      </c>
      <c r="F167" s="6">
        <v>78799</v>
      </c>
      <c r="G167" s="16">
        <v>254.14</v>
      </c>
      <c r="H167" s="6">
        <v>503</v>
      </c>
      <c r="I167" s="6">
        <v>3</v>
      </c>
      <c r="J167" s="6">
        <v>0</v>
      </c>
      <c r="K167" s="16">
        <v>0</v>
      </c>
      <c r="L167" s="8">
        <v>0</v>
      </c>
      <c r="M167" s="9">
        <v>6.3833297376870261E-3</v>
      </c>
      <c r="N167" s="9">
        <v>5.9642147117296221E-3</v>
      </c>
      <c r="O167" s="9">
        <v>0</v>
      </c>
      <c r="P167" s="7">
        <v>0</v>
      </c>
      <c r="Q167" s="7">
        <v>0.50524850894632201</v>
      </c>
      <c r="R167" s="7">
        <v>84.713333333333324</v>
      </c>
      <c r="S167" s="7">
        <v>0</v>
      </c>
      <c r="T167" s="16">
        <v>0</v>
      </c>
      <c r="U167" t="s">
        <v>34</v>
      </c>
      <c r="V167" t="s">
        <v>36</v>
      </c>
      <c r="W167" t="s">
        <v>26</v>
      </c>
      <c r="X167" t="b">
        <f t="shared" si="2"/>
        <v>1</v>
      </c>
    </row>
    <row r="168" spans="1:24" x14ac:dyDescent="0.3">
      <c r="A168" s="6">
        <v>303</v>
      </c>
      <c r="B168" s="11">
        <v>44255</v>
      </c>
      <c r="C168" t="s">
        <v>35</v>
      </c>
      <c r="D168" t="s">
        <v>22</v>
      </c>
      <c r="E168" s="6">
        <v>9034945</v>
      </c>
      <c r="F168" s="6">
        <v>63566</v>
      </c>
      <c r="G168" s="16">
        <v>4950.74</v>
      </c>
      <c r="H168" s="6">
        <v>546</v>
      </c>
      <c r="I168" s="6">
        <v>12</v>
      </c>
      <c r="J168" s="6">
        <v>1</v>
      </c>
      <c r="K168" s="16">
        <v>5981</v>
      </c>
      <c r="L168" s="8">
        <v>0.20810222310200099</v>
      </c>
      <c r="M168" s="9">
        <v>8.5894975301261684E-3</v>
      </c>
      <c r="N168" s="9">
        <v>2.197802197802198E-2</v>
      </c>
      <c r="O168" s="9">
        <v>8.3333333333333329E-2</v>
      </c>
      <c r="P168" s="7">
        <v>5981</v>
      </c>
      <c r="Q168" s="7">
        <v>9.0672893772893772</v>
      </c>
      <c r="R168" s="7">
        <v>412.56166666666672</v>
      </c>
      <c r="S168" s="7">
        <v>4950.74</v>
      </c>
      <c r="T168" s="16">
        <v>1030.26</v>
      </c>
      <c r="U168" t="s">
        <v>34</v>
      </c>
      <c r="V168" t="s">
        <v>36</v>
      </c>
      <c r="W168" t="s">
        <v>25</v>
      </c>
      <c r="X168" t="b">
        <f t="shared" si="2"/>
        <v>1</v>
      </c>
    </row>
    <row r="169" spans="1:24" x14ac:dyDescent="0.3">
      <c r="A169" s="6">
        <v>304</v>
      </c>
      <c r="B169" s="11">
        <v>44255</v>
      </c>
      <c r="C169" t="s">
        <v>35</v>
      </c>
      <c r="D169" t="s">
        <v>22</v>
      </c>
      <c r="E169" s="6">
        <v>983498</v>
      </c>
      <c r="F169" s="6">
        <v>775780</v>
      </c>
      <c r="G169" s="16">
        <v>760.75</v>
      </c>
      <c r="H169" s="6">
        <v>1024</v>
      </c>
      <c r="I169" s="6">
        <v>4</v>
      </c>
      <c r="J169" s="6">
        <v>0</v>
      </c>
      <c r="K169" s="16">
        <v>0</v>
      </c>
      <c r="L169" s="8">
        <v>0</v>
      </c>
      <c r="M169" s="9">
        <v>1.3199618448529219E-3</v>
      </c>
      <c r="N169" s="9">
        <v>3.90625E-3</v>
      </c>
      <c r="O169" s="9">
        <v>0</v>
      </c>
      <c r="P169" s="7">
        <v>0</v>
      </c>
      <c r="Q169" s="7">
        <v>0.742919921875</v>
      </c>
      <c r="R169" s="7">
        <v>190.1875</v>
      </c>
      <c r="S169" s="7">
        <v>0</v>
      </c>
      <c r="T169" s="16">
        <v>0</v>
      </c>
      <c r="U169" t="s">
        <v>34</v>
      </c>
      <c r="V169" t="s">
        <v>36</v>
      </c>
      <c r="W169" t="s">
        <v>26</v>
      </c>
      <c r="X169" t="b">
        <f t="shared" si="2"/>
        <v>1</v>
      </c>
    </row>
    <row r="170" spans="1:24" x14ac:dyDescent="0.3">
      <c r="A170" s="6">
        <v>58</v>
      </c>
      <c r="B170" s="11">
        <v>44233</v>
      </c>
      <c r="C170" t="s">
        <v>33</v>
      </c>
      <c r="D170" t="s">
        <v>37</v>
      </c>
      <c r="E170" s="6">
        <v>89459845</v>
      </c>
      <c r="F170" s="6">
        <v>44950</v>
      </c>
      <c r="G170" s="16">
        <v>6768.87</v>
      </c>
      <c r="H170" s="6">
        <v>899</v>
      </c>
      <c r="I170" s="6">
        <v>13</v>
      </c>
      <c r="J170" s="6">
        <v>1</v>
      </c>
      <c r="K170" s="16">
        <v>8136</v>
      </c>
      <c r="L170" s="8">
        <v>0.20197315061450441</v>
      </c>
      <c r="M170" s="9">
        <v>0.02</v>
      </c>
      <c r="N170" s="9">
        <v>1.446051167964405E-2</v>
      </c>
      <c r="O170" s="9">
        <v>7.6923076923076927E-2</v>
      </c>
      <c r="P170" s="7">
        <v>8136</v>
      </c>
      <c r="Q170" s="7">
        <v>7.5293325917686316</v>
      </c>
      <c r="R170" s="7">
        <v>520.68230769230763</v>
      </c>
      <c r="S170" s="7">
        <v>6768.87</v>
      </c>
      <c r="T170" s="16">
        <v>1367.13</v>
      </c>
      <c r="U170" t="s">
        <v>34</v>
      </c>
      <c r="V170" t="s">
        <v>38</v>
      </c>
      <c r="W170" t="s">
        <v>39</v>
      </c>
      <c r="X170" t="b">
        <f t="shared" si="2"/>
        <v>1</v>
      </c>
    </row>
    <row r="171" spans="1:24" x14ac:dyDescent="0.3">
      <c r="A171" s="6">
        <v>59</v>
      </c>
      <c r="B171" s="11">
        <v>44233</v>
      </c>
      <c r="C171" t="s">
        <v>33</v>
      </c>
      <c r="D171" t="s">
        <v>37</v>
      </c>
      <c r="E171" s="6">
        <v>127823</v>
      </c>
      <c r="F171" s="6">
        <v>478400</v>
      </c>
      <c r="G171" s="16">
        <v>22542</v>
      </c>
      <c r="H171" s="6">
        <v>2392</v>
      </c>
      <c r="I171" s="6">
        <v>48</v>
      </c>
      <c r="J171" s="6">
        <v>6</v>
      </c>
      <c r="K171" s="16">
        <v>13152</v>
      </c>
      <c r="L171" s="8">
        <v>-0.41655576257652382</v>
      </c>
      <c r="M171" s="9">
        <v>5.0000000000000001E-3</v>
      </c>
      <c r="N171" s="9">
        <v>2.006688963210702E-2</v>
      </c>
      <c r="O171" s="9">
        <v>0.125</v>
      </c>
      <c r="P171" s="7">
        <v>2192</v>
      </c>
      <c r="Q171" s="7">
        <v>9.4239130434782616</v>
      </c>
      <c r="R171" s="7">
        <v>469.625</v>
      </c>
      <c r="S171" s="7">
        <v>3757</v>
      </c>
      <c r="T171" s="16">
        <v>-9390</v>
      </c>
      <c r="U171" t="s">
        <v>34</v>
      </c>
      <c r="V171" t="s">
        <v>38</v>
      </c>
      <c r="W171" t="s">
        <v>40</v>
      </c>
      <c r="X171" t="b">
        <f t="shared" si="2"/>
        <v>1</v>
      </c>
    </row>
    <row r="172" spans="1:24" x14ac:dyDescent="0.3">
      <c r="A172" s="6">
        <v>60</v>
      </c>
      <c r="B172" s="11">
        <v>44233</v>
      </c>
      <c r="C172" t="s">
        <v>33</v>
      </c>
      <c r="D172" t="s">
        <v>41</v>
      </c>
      <c r="E172" s="6">
        <v>10934</v>
      </c>
      <c r="F172" s="6">
        <v>472252</v>
      </c>
      <c r="G172" s="16">
        <v>80971.399999999994</v>
      </c>
      <c r="H172" s="6">
        <v>4508</v>
      </c>
      <c r="I172" s="6">
        <v>133</v>
      </c>
      <c r="J172" s="6">
        <v>27</v>
      </c>
      <c r="K172" s="16">
        <v>215487</v>
      </c>
      <c r="L172" s="8">
        <v>1.661272992686307</v>
      </c>
      <c r="M172" s="9">
        <v>9.5457509973488723E-3</v>
      </c>
      <c r="N172" s="9">
        <v>2.9503105590062109E-2</v>
      </c>
      <c r="O172" s="9">
        <v>0.2030075187969925</v>
      </c>
      <c r="P172" s="7">
        <v>7981</v>
      </c>
      <c r="Q172" s="7">
        <v>17.961712511091392</v>
      </c>
      <c r="R172" s="7">
        <v>608.80751879699244</v>
      </c>
      <c r="S172" s="7">
        <v>2998.9407407407411</v>
      </c>
      <c r="T172" s="16">
        <v>134515.6</v>
      </c>
      <c r="U172" t="s">
        <v>34</v>
      </c>
      <c r="V172" t="s">
        <v>42</v>
      </c>
      <c r="W172" t="s">
        <v>43</v>
      </c>
      <c r="X172" t="b">
        <f t="shared" si="2"/>
        <v>1</v>
      </c>
    </row>
    <row r="173" spans="1:24" x14ac:dyDescent="0.3">
      <c r="A173" s="6">
        <v>65</v>
      </c>
      <c r="B173" s="11">
        <v>44233</v>
      </c>
      <c r="C173" t="s">
        <v>33</v>
      </c>
      <c r="D173" t="s">
        <v>41</v>
      </c>
      <c r="E173" s="6">
        <v>374754</v>
      </c>
      <c r="F173" s="6">
        <v>300700</v>
      </c>
      <c r="G173" s="16">
        <v>8289.2099999999991</v>
      </c>
      <c r="H173" s="6">
        <v>3007</v>
      </c>
      <c r="I173" s="6">
        <v>20</v>
      </c>
      <c r="J173" s="6">
        <v>2</v>
      </c>
      <c r="K173" s="16">
        <v>9450</v>
      </c>
      <c r="L173" s="8">
        <v>0.14003626401068389</v>
      </c>
      <c r="M173" s="9">
        <v>0.01</v>
      </c>
      <c r="N173" s="9">
        <v>6.6511473229132027E-3</v>
      </c>
      <c r="O173" s="9">
        <v>0.1</v>
      </c>
      <c r="P173" s="7">
        <v>4725</v>
      </c>
      <c r="Q173" s="7">
        <v>2.7566378450282669</v>
      </c>
      <c r="R173" s="7">
        <v>414.46050000000002</v>
      </c>
      <c r="S173" s="7">
        <v>4144.6049999999996</v>
      </c>
      <c r="T173" s="16">
        <v>1160.7900000000011</v>
      </c>
      <c r="U173" t="s">
        <v>34</v>
      </c>
      <c r="V173" t="s">
        <v>36</v>
      </c>
      <c r="W173" t="s">
        <v>43</v>
      </c>
      <c r="X173" t="b">
        <f t="shared" si="2"/>
        <v>1</v>
      </c>
    </row>
    <row r="174" spans="1:24" x14ac:dyDescent="0.3">
      <c r="A174" s="6">
        <v>66</v>
      </c>
      <c r="B174" s="11">
        <v>44233</v>
      </c>
      <c r="C174" t="s">
        <v>33</v>
      </c>
      <c r="D174" t="s">
        <v>44</v>
      </c>
      <c r="E174" s="6">
        <v>39889</v>
      </c>
      <c r="F174" s="6">
        <v>42070000</v>
      </c>
      <c r="G174" s="16">
        <v>38185.199999999997</v>
      </c>
      <c r="H174" s="6">
        <v>4207</v>
      </c>
      <c r="I174" s="6">
        <v>84</v>
      </c>
      <c r="J174" s="6">
        <v>10</v>
      </c>
      <c r="K174" s="16">
        <v>48820</v>
      </c>
      <c r="L174" s="8">
        <v>0.27850580853314899</v>
      </c>
      <c r="M174" s="9">
        <v>1E-4</v>
      </c>
      <c r="N174" s="9">
        <v>1.996672212978369E-2</v>
      </c>
      <c r="O174" s="9">
        <v>0.119047619047619</v>
      </c>
      <c r="P174" s="7">
        <v>4882</v>
      </c>
      <c r="Q174" s="7">
        <v>9.0765866413120975</v>
      </c>
      <c r="R174" s="7">
        <v>454.58571428571418</v>
      </c>
      <c r="S174" s="7">
        <v>3818.52</v>
      </c>
      <c r="T174" s="16">
        <v>10634.8</v>
      </c>
      <c r="U174" t="s">
        <v>34</v>
      </c>
      <c r="V174" t="s">
        <v>45</v>
      </c>
      <c r="W174" t="s">
        <v>46</v>
      </c>
      <c r="X174" t="b">
        <f t="shared" si="2"/>
        <v>1</v>
      </c>
    </row>
    <row r="175" spans="1:24" x14ac:dyDescent="0.3">
      <c r="A175" s="6">
        <v>69</v>
      </c>
      <c r="B175" s="11">
        <v>44234</v>
      </c>
      <c r="C175" t="s">
        <v>35</v>
      </c>
      <c r="D175" t="s">
        <v>37</v>
      </c>
      <c r="E175" s="6">
        <v>89459845</v>
      </c>
      <c r="F175" s="6">
        <v>44650</v>
      </c>
      <c r="G175" s="16">
        <v>6426</v>
      </c>
      <c r="H175" s="6">
        <v>893</v>
      </c>
      <c r="I175" s="6">
        <v>18</v>
      </c>
      <c r="J175" s="6">
        <v>2</v>
      </c>
      <c r="K175" s="16">
        <v>14152</v>
      </c>
      <c r="L175" s="8">
        <v>1.2023031434796141</v>
      </c>
      <c r="M175" s="9">
        <v>0.02</v>
      </c>
      <c r="N175" s="9">
        <v>2.0156774916013441E-2</v>
      </c>
      <c r="O175" s="9">
        <v>0.1111111111111111</v>
      </c>
      <c r="P175" s="7">
        <v>7076</v>
      </c>
      <c r="Q175" s="7">
        <v>7.195968645016797</v>
      </c>
      <c r="R175" s="7">
        <v>357</v>
      </c>
      <c r="S175" s="7">
        <v>3213</v>
      </c>
      <c r="T175" s="16">
        <v>7726</v>
      </c>
      <c r="U175" t="s">
        <v>34</v>
      </c>
      <c r="V175" t="s">
        <v>38</v>
      </c>
      <c r="W175" t="s">
        <v>39</v>
      </c>
      <c r="X175" t="b">
        <f t="shared" si="2"/>
        <v>1</v>
      </c>
    </row>
    <row r="176" spans="1:24" x14ac:dyDescent="0.3">
      <c r="A176" s="6">
        <v>70</v>
      </c>
      <c r="B176" s="11">
        <v>44234</v>
      </c>
      <c r="C176" t="s">
        <v>35</v>
      </c>
      <c r="D176" t="s">
        <v>37</v>
      </c>
      <c r="E176" s="6">
        <v>127823</v>
      </c>
      <c r="F176" s="6">
        <v>1137473</v>
      </c>
      <c r="G176" s="16">
        <v>18102.099999999999</v>
      </c>
      <c r="H176" s="6">
        <v>2404</v>
      </c>
      <c r="I176" s="6">
        <v>48</v>
      </c>
      <c r="J176" s="6">
        <v>5</v>
      </c>
      <c r="K176" s="16">
        <v>17845</v>
      </c>
      <c r="L176" s="8">
        <v>-1.420277205407099E-2</v>
      </c>
      <c r="M176" s="9">
        <v>2.1134567589736202E-3</v>
      </c>
      <c r="N176" s="9">
        <v>1.996672212978369E-2</v>
      </c>
      <c r="O176" s="9">
        <v>0.1041666666666667</v>
      </c>
      <c r="P176" s="7">
        <v>3569</v>
      </c>
      <c r="Q176" s="7">
        <v>7.5299916805324454</v>
      </c>
      <c r="R176" s="7">
        <v>377.1270833333333</v>
      </c>
      <c r="S176" s="7">
        <v>3620.42</v>
      </c>
      <c r="T176" s="16">
        <v>-257.09999999999849</v>
      </c>
      <c r="U176" t="s">
        <v>34</v>
      </c>
      <c r="V176" t="s">
        <v>38</v>
      </c>
      <c r="W176" t="s">
        <v>40</v>
      </c>
      <c r="X176" t="b">
        <f t="shared" si="2"/>
        <v>1</v>
      </c>
    </row>
    <row r="177" spans="1:24" x14ac:dyDescent="0.3">
      <c r="A177" s="6">
        <v>71</v>
      </c>
      <c r="B177" s="11">
        <v>44234</v>
      </c>
      <c r="C177" t="s">
        <v>35</v>
      </c>
      <c r="D177" t="s">
        <v>41</v>
      </c>
      <c r="E177" s="6">
        <v>10934</v>
      </c>
      <c r="F177" s="6">
        <v>694624</v>
      </c>
      <c r="G177" s="16">
        <v>31680.1</v>
      </c>
      <c r="H177" s="6">
        <v>4505</v>
      </c>
      <c r="I177" s="6">
        <v>82</v>
      </c>
      <c r="J177" s="6">
        <v>15</v>
      </c>
      <c r="K177" s="16">
        <v>119715</v>
      </c>
      <c r="L177" s="8">
        <v>2.7788706475042688</v>
      </c>
      <c r="M177" s="9">
        <v>6.4855231031464514E-3</v>
      </c>
      <c r="N177" s="9">
        <v>1.8201997780244169E-2</v>
      </c>
      <c r="O177" s="9">
        <v>0.18292682926829271</v>
      </c>
      <c r="P177" s="7">
        <v>7981</v>
      </c>
      <c r="Q177" s="7">
        <v>7.0322086570477236</v>
      </c>
      <c r="R177" s="7">
        <v>386.34268292682918</v>
      </c>
      <c r="S177" s="7">
        <v>2112.0066666666671</v>
      </c>
      <c r="T177" s="16">
        <v>88034.9</v>
      </c>
      <c r="U177" t="s">
        <v>34</v>
      </c>
      <c r="V177" t="s">
        <v>42</v>
      </c>
      <c r="W177" t="s">
        <v>43</v>
      </c>
      <c r="X177" t="b">
        <f t="shared" si="2"/>
        <v>1</v>
      </c>
    </row>
    <row r="178" spans="1:24" x14ac:dyDescent="0.3">
      <c r="A178" s="6">
        <v>76</v>
      </c>
      <c r="B178" s="11">
        <v>44234</v>
      </c>
      <c r="C178" t="s">
        <v>35</v>
      </c>
      <c r="D178" t="s">
        <v>41</v>
      </c>
      <c r="E178" s="6">
        <v>374754</v>
      </c>
      <c r="F178" s="6">
        <v>300700</v>
      </c>
      <c r="G178" s="16">
        <v>46167.6</v>
      </c>
      <c r="H178" s="6">
        <v>3007</v>
      </c>
      <c r="I178" s="6">
        <v>93</v>
      </c>
      <c r="J178" s="6">
        <v>12</v>
      </c>
      <c r="K178" s="16">
        <v>68076</v>
      </c>
      <c r="L178" s="8">
        <v>0.47454058690510231</v>
      </c>
      <c r="M178" s="9">
        <v>0.01</v>
      </c>
      <c r="N178" s="9">
        <v>3.0927835051546389E-2</v>
      </c>
      <c r="O178" s="9">
        <v>0.1290322580645161</v>
      </c>
      <c r="P178" s="7">
        <v>5673</v>
      </c>
      <c r="Q178" s="7">
        <v>15.353375457266379</v>
      </c>
      <c r="R178" s="7">
        <v>496.42580645161291</v>
      </c>
      <c r="S178" s="7">
        <v>3847.3</v>
      </c>
      <c r="T178" s="16">
        <v>21908.400000000001</v>
      </c>
      <c r="U178" t="s">
        <v>34</v>
      </c>
      <c r="V178" t="s">
        <v>36</v>
      </c>
      <c r="W178" t="s">
        <v>43</v>
      </c>
      <c r="X178" t="b">
        <f t="shared" si="2"/>
        <v>1</v>
      </c>
    </row>
    <row r="179" spans="1:24" x14ac:dyDescent="0.3">
      <c r="A179" s="6">
        <v>77</v>
      </c>
      <c r="B179" s="11">
        <v>44234</v>
      </c>
      <c r="C179" t="s">
        <v>35</v>
      </c>
      <c r="D179" t="s">
        <v>44</v>
      </c>
      <c r="E179" s="6">
        <v>39889</v>
      </c>
      <c r="F179" s="6">
        <v>3957603</v>
      </c>
      <c r="G179" s="16">
        <v>79987.7</v>
      </c>
      <c r="H179" s="6">
        <v>4203</v>
      </c>
      <c r="I179" s="6">
        <v>142</v>
      </c>
      <c r="J179" s="6">
        <v>27</v>
      </c>
      <c r="K179" s="16">
        <v>90504</v>
      </c>
      <c r="L179" s="8">
        <v>0.13147396412198381</v>
      </c>
      <c r="M179" s="9">
        <v>1.0620064720994E-3</v>
      </c>
      <c r="N179" s="9">
        <v>3.3785391387104451E-2</v>
      </c>
      <c r="O179" s="9">
        <v>0.1901408450704225</v>
      </c>
      <c r="P179" s="7">
        <v>3352</v>
      </c>
      <c r="Q179" s="7">
        <v>19.031096835593619</v>
      </c>
      <c r="R179" s="7">
        <v>563.29366197183094</v>
      </c>
      <c r="S179" s="7">
        <v>2962.5074074074068</v>
      </c>
      <c r="T179" s="16">
        <v>10516.3</v>
      </c>
      <c r="U179" t="s">
        <v>34</v>
      </c>
      <c r="V179" t="s">
        <v>45</v>
      </c>
      <c r="W179" t="s">
        <v>46</v>
      </c>
      <c r="X179" t="b">
        <f t="shared" si="2"/>
        <v>1</v>
      </c>
    </row>
    <row r="180" spans="1:24" x14ac:dyDescent="0.3">
      <c r="A180" s="6">
        <v>135</v>
      </c>
      <c r="B180" s="11">
        <v>44240</v>
      </c>
      <c r="C180" t="s">
        <v>33</v>
      </c>
      <c r="D180" t="s">
        <v>37</v>
      </c>
      <c r="E180" s="6">
        <v>89459845</v>
      </c>
      <c r="F180" s="6">
        <v>225350</v>
      </c>
      <c r="G180" s="16">
        <v>61588.1</v>
      </c>
      <c r="H180" s="6">
        <v>4507</v>
      </c>
      <c r="I180" s="6">
        <v>100</v>
      </c>
      <c r="J180" s="6">
        <v>17</v>
      </c>
      <c r="K180" s="16">
        <v>152660</v>
      </c>
      <c r="L180" s="8">
        <v>1.4787255979645419</v>
      </c>
      <c r="M180" s="9">
        <v>0.02</v>
      </c>
      <c r="N180" s="9">
        <v>2.218770800976259E-2</v>
      </c>
      <c r="O180" s="9">
        <v>0.17</v>
      </c>
      <c r="P180" s="7">
        <v>8980</v>
      </c>
      <c r="Q180" s="7">
        <v>13.66498779676059</v>
      </c>
      <c r="R180" s="7">
        <v>615.88099999999997</v>
      </c>
      <c r="S180" s="7">
        <v>3622.829411764706</v>
      </c>
      <c r="T180" s="16">
        <v>91071.9</v>
      </c>
      <c r="U180" t="s">
        <v>34</v>
      </c>
      <c r="V180" t="s">
        <v>38</v>
      </c>
      <c r="W180" t="s">
        <v>39</v>
      </c>
      <c r="X180" t="b">
        <f t="shared" si="2"/>
        <v>1</v>
      </c>
    </row>
    <row r="181" spans="1:24" x14ac:dyDescent="0.3">
      <c r="A181" s="6">
        <v>136</v>
      </c>
      <c r="B181" s="11">
        <v>44240</v>
      </c>
      <c r="C181" t="s">
        <v>33</v>
      </c>
      <c r="D181" t="s">
        <v>37</v>
      </c>
      <c r="E181" s="6">
        <v>127823</v>
      </c>
      <c r="F181" s="6">
        <v>3452027</v>
      </c>
      <c r="G181" s="16">
        <v>216562</v>
      </c>
      <c r="H181" s="6">
        <v>12010</v>
      </c>
      <c r="I181" s="6">
        <v>378</v>
      </c>
      <c r="J181" s="6">
        <v>56</v>
      </c>
      <c r="K181" s="16">
        <v>123088</v>
      </c>
      <c r="L181" s="8">
        <v>-0.43162697056732019</v>
      </c>
      <c r="M181" s="9">
        <v>3.479115313987985E-3</v>
      </c>
      <c r="N181" s="9">
        <v>3.1473771856786008E-2</v>
      </c>
      <c r="O181" s="9">
        <v>0.14814814814814811</v>
      </c>
      <c r="P181" s="7">
        <v>2198</v>
      </c>
      <c r="Q181" s="7">
        <v>18.031806827643631</v>
      </c>
      <c r="R181" s="7">
        <v>572.9153439153439</v>
      </c>
      <c r="S181" s="7">
        <v>3867.178571428572</v>
      </c>
      <c r="T181" s="16">
        <v>-93474</v>
      </c>
      <c r="U181" t="s">
        <v>34</v>
      </c>
      <c r="V181" t="s">
        <v>38</v>
      </c>
      <c r="W181" t="s">
        <v>40</v>
      </c>
      <c r="X181" t="b">
        <f t="shared" si="2"/>
        <v>1</v>
      </c>
    </row>
    <row r="182" spans="1:24" x14ac:dyDescent="0.3">
      <c r="A182" s="6">
        <v>137</v>
      </c>
      <c r="B182" s="11">
        <v>44240</v>
      </c>
      <c r="C182" t="s">
        <v>33</v>
      </c>
      <c r="D182" t="s">
        <v>41</v>
      </c>
      <c r="E182" s="6">
        <v>10934</v>
      </c>
      <c r="F182" s="6">
        <v>2250900</v>
      </c>
      <c r="G182" s="16">
        <v>205045</v>
      </c>
      <c r="H182" s="6">
        <v>22509</v>
      </c>
      <c r="I182" s="6">
        <v>790</v>
      </c>
      <c r="J182" s="6">
        <v>158</v>
      </c>
      <c r="K182" s="16">
        <v>1296550</v>
      </c>
      <c r="L182" s="8">
        <v>5.3232461167060876</v>
      </c>
      <c r="M182" s="9">
        <v>0.01</v>
      </c>
      <c r="N182" s="9">
        <v>3.509707228219823E-2</v>
      </c>
      <c r="O182" s="9">
        <v>0.2</v>
      </c>
      <c r="P182" s="7">
        <v>8206.0126582278481</v>
      </c>
      <c r="Q182" s="7">
        <v>9.1094673241814377</v>
      </c>
      <c r="R182" s="7">
        <v>259.55063291139243</v>
      </c>
      <c r="S182" s="7">
        <v>1297.753164556962</v>
      </c>
      <c r="T182" s="16">
        <v>1091505</v>
      </c>
      <c r="U182" t="s">
        <v>34</v>
      </c>
      <c r="V182" t="s">
        <v>42</v>
      </c>
      <c r="W182" t="s">
        <v>43</v>
      </c>
      <c r="X182" t="b">
        <f t="shared" si="2"/>
        <v>1</v>
      </c>
    </row>
    <row r="183" spans="1:24" x14ac:dyDescent="0.3">
      <c r="A183" s="6">
        <v>142</v>
      </c>
      <c r="B183" s="11">
        <v>44240</v>
      </c>
      <c r="C183" t="s">
        <v>33</v>
      </c>
      <c r="D183" t="s">
        <v>41</v>
      </c>
      <c r="E183" s="6">
        <v>374754</v>
      </c>
      <c r="F183" s="6">
        <v>1499200</v>
      </c>
      <c r="G183" s="16">
        <v>32770.1</v>
      </c>
      <c r="H183" s="6">
        <v>14992</v>
      </c>
      <c r="I183" s="6">
        <v>50</v>
      </c>
      <c r="J183" s="6">
        <v>8</v>
      </c>
      <c r="K183" s="16">
        <v>43976</v>
      </c>
      <c r="L183" s="8">
        <v>0.34195501386935051</v>
      </c>
      <c r="M183" s="9">
        <v>0.01</v>
      </c>
      <c r="N183" s="9">
        <v>3.3351120597652079E-3</v>
      </c>
      <c r="O183" s="9">
        <v>0.16</v>
      </c>
      <c r="P183" s="7">
        <v>5497</v>
      </c>
      <c r="Q183" s="7">
        <v>2.1858391141942368</v>
      </c>
      <c r="R183" s="7">
        <v>655.40199999999993</v>
      </c>
      <c r="S183" s="7">
        <v>4096.2624999999998</v>
      </c>
      <c r="T183" s="16">
        <v>11205.9</v>
      </c>
      <c r="U183" t="s">
        <v>34</v>
      </c>
      <c r="V183" t="s">
        <v>36</v>
      </c>
      <c r="W183" t="s">
        <v>43</v>
      </c>
      <c r="X183" t="b">
        <f t="shared" si="2"/>
        <v>1</v>
      </c>
    </row>
    <row r="184" spans="1:24" x14ac:dyDescent="0.3">
      <c r="A184" s="6">
        <v>143</v>
      </c>
      <c r="B184" s="11">
        <v>44240</v>
      </c>
      <c r="C184" t="s">
        <v>33</v>
      </c>
      <c r="D184" t="s">
        <v>44</v>
      </c>
      <c r="E184" s="6">
        <v>39889</v>
      </c>
      <c r="F184" s="6">
        <v>17890507</v>
      </c>
      <c r="G184" s="16">
        <v>390105</v>
      </c>
      <c r="H184" s="6">
        <v>20993</v>
      </c>
      <c r="I184" s="6">
        <v>734</v>
      </c>
      <c r="J184" s="6">
        <v>118</v>
      </c>
      <c r="K184" s="16">
        <v>353174</v>
      </c>
      <c r="L184" s="8">
        <v>-9.4669383883826147E-2</v>
      </c>
      <c r="M184" s="9">
        <v>1.173415599680881E-3</v>
      </c>
      <c r="N184" s="9">
        <v>3.4964035630924588E-2</v>
      </c>
      <c r="O184" s="9">
        <v>0.16076294277929151</v>
      </c>
      <c r="P184" s="7">
        <v>2993</v>
      </c>
      <c r="Q184" s="7">
        <v>18.58262277902158</v>
      </c>
      <c r="R184" s="7">
        <v>531.47820163487734</v>
      </c>
      <c r="S184" s="7">
        <v>3305.9745762711859</v>
      </c>
      <c r="T184" s="16">
        <v>-36931</v>
      </c>
      <c r="U184" t="s">
        <v>34</v>
      </c>
      <c r="V184" t="s">
        <v>45</v>
      </c>
      <c r="W184" t="s">
        <v>46</v>
      </c>
      <c r="X184" t="b">
        <f t="shared" si="2"/>
        <v>1</v>
      </c>
    </row>
    <row r="185" spans="1:24" x14ac:dyDescent="0.3">
      <c r="A185" s="6">
        <v>146</v>
      </c>
      <c r="B185" s="11">
        <v>44241</v>
      </c>
      <c r="C185" t="s">
        <v>35</v>
      </c>
      <c r="D185" t="s">
        <v>37</v>
      </c>
      <c r="E185" s="6">
        <v>89459845</v>
      </c>
      <c r="F185" s="6">
        <v>263754</v>
      </c>
      <c r="G185" s="16">
        <v>56440.3</v>
      </c>
      <c r="H185" s="6">
        <v>5409</v>
      </c>
      <c r="I185" s="6">
        <v>90</v>
      </c>
      <c r="J185" s="6">
        <v>11</v>
      </c>
      <c r="K185" s="16">
        <v>84183</v>
      </c>
      <c r="L185" s="8">
        <v>0.49154061902576701</v>
      </c>
      <c r="M185" s="9">
        <v>2.0507745854091309E-2</v>
      </c>
      <c r="N185" s="9">
        <v>1.6638935108153081E-2</v>
      </c>
      <c r="O185" s="9">
        <v>0.1222222222222222</v>
      </c>
      <c r="P185" s="7">
        <v>7653</v>
      </c>
      <c r="Q185" s="7">
        <v>10.43451654649658</v>
      </c>
      <c r="R185" s="7">
        <v>627.11444444444453</v>
      </c>
      <c r="S185" s="7">
        <v>5130.9363636363641</v>
      </c>
      <c r="T185" s="16">
        <v>27742.7</v>
      </c>
      <c r="U185" t="s">
        <v>34</v>
      </c>
      <c r="V185" t="s">
        <v>38</v>
      </c>
      <c r="W185" t="s">
        <v>39</v>
      </c>
      <c r="X185" t="b">
        <f t="shared" si="2"/>
        <v>1</v>
      </c>
    </row>
    <row r="186" spans="1:24" x14ac:dyDescent="0.3">
      <c r="A186" s="6">
        <v>147</v>
      </c>
      <c r="B186" s="11">
        <v>44241</v>
      </c>
      <c r="C186" t="s">
        <v>35</v>
      </c>
      <c r="D186" t="s">
        <v>37</v>
      </c>
      <c r="E186" s="6">
        <v>127823</v>
      </c>
      <c r="F186" s="6">
        <v>3111389</v>
      </c>
      <c r="G186" s="16">
        <v>196998</v>
      </c>
      <c r="H186" s="6">
        <v>14390</v>
      </c>
      <c r="I186" s="6">
        <v>498</v>
      </c>
      <c r="J186" s="6">
        <v>48</v>
      </c>
      <c r="K186" s="16">
        <v>101280</v>
      </c>
      <c r="L186" s="8">
        <v>-0.48588310541223773</v>
      </c>
      <c r="M186" s="9">
        <v>4.6249440362487624E-3</v>
      </c>
      <c r="N186" s="9">
        <v>3.4607366226546213E-2</v>
      </c>
      <c r="O186" s="9">
        <v>9.6385542168674704E-2</v>
      </c>
      <c r="P186" s="7">
        <v>2110</v>
      </c>
      <c r="Q186" s="7">
        <v>13.689923558026409</v>
      </c>
      <c r="R186" s="7">
        <v>395.57831325301203</v>
      </c>
      <c r="S186" s="7">
        <v>4104.125</v>
      </c>
      <c r="T186" s="16">
        <v>-95718</v>
      </c>
      <c r="U186" t="s">
        <v>34</v>
      </c>
      <c r="V186" t="s">
        <v>38</v>
      </c>
      <c r="W186" t="s">
        <v>40</v>
      </c>
      <c r="X186" t="b">
        <f t="shared" si="2"/>
        <v>1</v>
      </c>
    </row>
    <row r="187" spans="1:24" x14ac:dyDescent="0.3">
      <c r="A187" s="6">
        <v>148</v>
      </c>
      <c r="B187" s="11">
        <v>44241</v>
      </c>
      <c r="C187" t="s">
        <v>35</v>
      </c>
      <c r="D187" t="s">
        <v>41</v>
      </c>
      <c r="E187" s="6">
        <v>10934</v>
      </c>
      <c r="F187" s="6">
        <v>2511956</v>
      </c>
      <c r="G187" s="16">
        <v>231751</v>
      </c>
      <c r="H187" s="6">
        <v>26993</v>
      </c>
      <c r="I187" s="6">
        <v>540</v>
      </c>
      <c r="J187" s="6">
        <v>85</v>
      </c>
      <c r="K187" s="16">
        <v>733550</v>
      </c>
      <c r="L187" s="8">
        <v>2.1652506353802141</v>
      </c>
      <c r="M187" s="9">
        <v>1.074580924188163E-2</v>
      </c>
      <c r="N187" s="9">
        <v>2.0005186529841072E-2</v>
      </c>
      <c r="O187" s="9">
        <v>0.15740740740740741</v>
      </c>
      <c r="P187" s="7">
        <v>8630</v>
      </c>
      <c r="Q187" s="7">
        <v>8.5855962656985145</v>
      </c>
      <c r="R187" s="7">
        <v>429.16851851851851</v>
      </c>
      <c r="S187" s="7">
        <v>2726.482352941176</v>
      </c>
      <c r="T187" s="16">
        <v>501799</v>
      </c>
      <c r="U187" t="s">
        <v>34</v>
      </c>
      <c r="V187" t="s">
        <v>42</v>
      </c>
      <c r="W187" t="s">
        <v>43</v>
      </c>
      <c r="X187" t="b">
        <f t="shared" si="2"/>
        <v>1</v>
      </c>
    </row>
    <row r="188" spans="1:24" x14ac:dyDescent="0.3">
      <c r="A188" s="6">
        <v>153</v>
      </c>
      <c r="B188" s="11">
        <v>44241</v>
      </c>
      <c r="C188" t="s">
        <v>35</v>
      </c>
      <c r="D188" t="s">
        <v>41</v>
      </c>
      <c r="E188" s="6">
        <v>374754</v>
      </c>
      <c r="F188" s="6">
        <v>2429465</v>
      </c>
      <c r="G188" s="16">
        <v>205870</v>
      </c>
      <c r="H188" s="6">
        <v>17998</v>
      </c>
      <c r="I188" s="6">
        <v>354</v>
      </c>
      <c r="J188" s="6">
        <v>53</v>
      </c>
      <c r="K188" s="16">
        <v>306817</v>
      </c>
      <c r="L188" s="8">
        <v>0.49034342060523628</v>
      </c>
      <c r="M188" s="9">
        <v>7.4082153889848184E-3</v>
      </c>
      <c r="N188" s="9">
        <v>1.966885209467719E-2</v>
      </c>
      <c r="O188" s="9">
        <v>0.14971751412429379</v>
      </c>
      <c r="P188" s="7">
        <v>5789</v>
      </c>
      <c r="Q188" s="7">
        <v>11.438493165907319</v>
      </c>
      <c r="R188" s="7">
        <v>581.55367231638422</v>
      </c>
      <c r="S188" s="7">
        <v>3884.3396226415089</v>
      </c>
      <c r="T188" s="16">
        <v>100947</v>
      </c>
      <c r="U188" t="s">
        <v>34</v>
      </c>
      <c r="V188" t="s">
        <v>36</v>
      </c>
      <c r="W188" t="s">
        <v>43</v>
      </c>
      <c r="X188" t="b">
        <f t="shared" si="2"/>
        <v>1</v>
      </c>
    </row>
    <row r="189" spans="1:24" x14ac:dyDescent="0.3">
      <c r="A189" s="6">
        <v>154</v>
      </c>
      <c r="B189" s="11">
        <v>44241</v>
      </c>
      <c r="C189" t="s">
        <v>35</v>
      </c>
      <c r="D189" t="s">
        <v>44</v>
      </c>
      <c r="E189" s="6">
        <v>39889</v>
      </c>
      <c r="F189" s="6">
        <v>7218480</v>
      </c>
      <c r="G189" s="16">
        <v>225274</v>
      </c>
      <c r="H189" s="6">
        <v>25190</v>
      </c>
      <c r="I189" s="6">
        <v>504</v>
      </c>
      <c r="J189" s="6">
        <v>76</v>
      </c>
      <c r="K189" s="16">
        <v>236056</v>
      </c>
      <c r="L189" s="8">
        <v>4.7861715066985097E-2</v>
      </c>
      <c r="M189" s="9">
        <v>3.4896543316598511E-3</v>
      </c>
      <c r="N189" s="9">
        <v>2.0007939658594681E-2</v>
      </c>
      <c r="O189" s="9">
        <v>0.15079365079365081</v>
      </c>
      <c r="P189" s="7">
        <v>3106</v>
      </c>
      <c r="Q189" s="7">
        <v>8.9429932512901953</v>
      </c>
      <c r="R189" s="7">
        <v>446.97222222222217</v>
      </c>
      <c r="S189" s="7">
        <v>2964.1315789473679</v>
      </c>
      <c r="T189" s="16">
        <v>10782</v>
      </c>
      <c r="U189" t="s">
        <v>34</v>
      </c>
      <c r="V189" t="s">
        <v>45</v>
      </c>
      <c r="W189" t="s">
        <v>46</v>
      </c>
      <c r="X189" t="b">
        <f t="shared" si="2"/>
        <v>1</v>
      </c>
    </row>
    <row r="190" spans="1:24" x14ac:dyDescent="0.3">
      <c r="A190" s="6">
        <v>212</v>
      </c>
      <c r="B190" s="11">
        <v>44247</v>
      </c>
      <c r="C190" t="s">
        <v>33</v>
      </c>
      <c r="D190" t="s">
        <v>37</v>
      </c>
      <c r="E190" s="6">
        <v>89459845</v>
      </c>
      <c r="F190" s="6">
        <v>540450</v>
      </c>
      <c r="G190" s="16">
        <v>190469</v>
      </c>
      <c r="H190" s="6">
        <v>10809</v>
      </c>
      <c r="I190" s="6">
        <v>359</v>
      </c>
      <c r="J190" s="6">
        <v>47</v>
      </c>
      <c r="K190" s="16">
        <v>365378</v>
      </c>
      <c r="L190" s="8">
        <v>0.91830691608608228</v>
      </c>
      <c r="M190" s="9">
        <v>0.02</v>
      </c>
      <c r="N190" s="9">
        <v>3.3213063188084001E-2</v>
      </c>
      <c r="O190" s="9">
        <v>0.1309192200557103</v>
      </c>
      <c r="P190" s="7">
        <v>7774</v>
      </c>
      <c r="Q190" s="7">
        <v>17.621334073457309</v>
      </c>
      <c r="R190" s="7">
        <v>530.55431754874655</v>
      </c>
      <c r="S190" s="7">
        <v>4052.5319148936169</v>
      </c>
      <c r="T190" s="16">
        <v>174909</v>
      </c>
      <c r="U190" t="s">
        <v>34</v>
      </c>
      <c r="V190" t="s">
        <v>38</v>
      </c>
      <c r="W190" t="s">
        <v>39</v>
      </c>
      <c r="X190" t="b">
        <f t="shared" si="2"/>
        <v>1</v>
      </c>
    </row>
    <row r="191" spans="1:24" x14ac:dyDescent="0.3">
      <c r="A191" s="6">
        <v>213</v>
      </c>
      <c r="B191" s="11">
        <v>44247</v>
      </c>
      <c r="C191" t="s">
        <v>33</v>
      </c>
      <c r="D191" t="s">
        <v>37</v>
      </c>
      <c r="E191" s="6">
        <v>127823</v>
      </c>
      <c r="F191" s="6">
        <v>5762000</v>
      </c>
      <c r="G191" s="16">
        <v>435770</v>
      </c>
      <c r="H191" s="6">
        <v>28810</v>
      </c>
      <c r="I191" s="6">
        <v>732</v>
      </c>
      <c r="J191" s="6">
        <v>96</v>
      </c>
      <c r="K191" s="16">
        <v>253440</v>
      </c>
      <c r="L191" s="8">
        <v>-0.41840879362966699</v>
      </c>
      <c r="M191" s="9">
        <v>5.0000000000000001E-3</v>
      </c>
      <c r="N191" s="9">
        <v>2.540784449843804E-2</v>
      </c>
      <c r="O191" s="9">
        <v>0.13114754098360659</v>
      </c>
      <c r="P191" s="7">
        <v>2640</v>
      </c>
      <c r="Q191" s="7">
        <v>15.125650815688999</v>
      </c>
      <c r="R191" s="7">
        <v>595.31420765027326</v>
      </c>
      <c r="S191" s="7">
        <v>4539.270833333333</v>
      </c>
      <c r="T191" s="16">
        <v>-182330</v>
      </c>
      <c r="U191" t="s">
        <v>34</v>
      </c>
      <c r="V191" t="s">
        <v>38</v>
      </c>
      <c r="W191" t="s">
        <v>40</v>
      </c>
      <c r="X191" t="b">
        <f t="shared" si="2"/>
        <v>1</v>
      </c>
    </row>
    <row r="192" spans="1:24" x14ac:dyDescent="0.3">
      <c r="A192" s="6">
        <v>214</v>
      </c>
      <c r="B192" s="11">
        <v>44247</v>
      </c>
      <c r="C192" t="s">
        <v>33</v>
      </c>
      <c r="D192" t="s">
        <v>41</v>
      </c>
      <c r="E192" s="6">
        <v>10934</v>
      </c>
      <c r="F192" s="6">
        <v>5399300</v>
      </c>
      <c r="G192" s="16">
        <v>303860</v>
      </c>
      <c r="H192" s="6">
        <v>53993</v>
      </c>
      <c r="I192" s="6">
        <v>1094</v>
      </c>
      <c r="J192" s="6">
        <v>182</v>
      </c>
      <c r="K192" s="16">
        <v>1452540</v>
      </c>
      <c r="L192" s="8">
        <v>3.7802935562430071</v>
      </c>
      <c r="M192" s="9">
        <v>0.01</v>
      </c>
      <c r="N192" s="9">
        <v>2.026188580001111E-2</v>
      </c>
      <c r="O192" s="9">
        <v>0.1663619744058501</v>
      </c>
      <c r="P192" s="7">
        <v>7980.9890109890111</v>
      </c>
      <c r="Q192" s="7">
        <v>5.6277665623321544</v>
      </c>
      <c r="R192" s="7">
        <v>277.7513711151737</v>
      </c>
      <c r="S192" s="7">
        <v>1669.56043956044</v>
      </c>
      <c r="T192" s="16">
        <v>1148680</v>
      </c>
      <c r="U192" t="s">
        <v>34</v>
      </c>
      <c r="V192" t="s">
        <v>42</v>
      </c>
      <c r="W192" t="s">
        <v>43</v>
      </c>
      <c r="X192" t="b">
        <f t="shared" si="2"/>
        <v>1</v>
      </c>
    </row>
    <row r="193" spans="1:24" x14ac:dyDescent="0.3">
      <c r="A193" s="6">
        <v>219</v>
      </c>
      <c r="B193" s="11">
        <v>44247</v>
      </c>
      <c r="C193" t="s">
        <v>33</v>
      </c>
      <c r="D193" t="s">
        <v>41</v>
      </c>
      <c r="E193" s="6">
        <v>374754</v>
      </c>
      <c r="F193" s="6">
        <v>5497354</v>
      </c>
      <c r="G193" s="16">
        <v>504576</v>
      </c>
      <c r="H193" s="6">
        <v>35994</v>
      </c>
      <c r="I193" s="6">
        <v>822</v>
      </c>
      <c r="J193" s="6">
        <v>137</v>
      </c>
      <c r="K193" s="16">
        <v>682397</v>
      </c>
      <c r="L193" s="8">
        <v>0.35241668252156272</v>
      </c>
      <c r="M193" s="9">
        <v>6.5475135856268296E-3</v>
      </c>
      <c r="N193" s="9">
        <v>2.2837139523253881E-2</v>
      </c>
      <c r="O193" s="9">
        <v>0.16666666666666671</v>
      </c>
      <c r="P193" s="7">
        <v>4981</v>
      </c>
      <c r="Q193" s="7">
        <v>14.018336389398231</v>
      </c>
      <c r="R193" s="7">
        <v>613.83941605839414</v>
      </c>
      <c r="S193" s="7">
        <v>3683.0364963503648</v>
      </c>
      <c r="T193" s="16">
        <v>177821</v>
      </c>
      <c r="U193" t="s">
        <v>34</v>
      </c>
      <c r="V193" t="s">
        <v>36</v>
      </c>
      <c r="W193" t="s">
        <v>43</v>
      </c>
      <c r="X193" t="b">
        <f t="shared" si="2"/>
        <v>1</v>
      </c>
    </row>
    <row r="194" spans="1:24" x14ac:dyDescent="0.3">
      <c r="A194" s="6">
        <v>220</v>
      </c>
      <c r="B194" s="11">
        <v>44247</v>
      </c>
      <c r="C194" t="s">
        <v>33</v>
      </c>
      <c r="D194" t="s">
        <v>44</v>
      </c>
      <c r="E194" s="6">
        <v>39889</v>
      </c>
      <c r="F194" s="6">
        <v>26012342</v>
      </c>
      <c r="G194" s="16">
        <v>750361</v>
      </c>
      <c r="H194" s="6">
        <v>50408</v>
      </c>
      <c r="I194" s="6">
        <v>1678</v>
      </c>
      <c r="J194" s="6">
        <v>252</v>
      </c>
      <c r="K194" s="16">
        <v>1003210</v>
      </c>
      <c r="L194" s="8">
        <v>0.33696980520043018</v>
      </c>
      <c r="M194" s="9">
        <v>1.9378493485899891E-3</v>
      </c>
      <c r="N194" s="9">
        <v>3.3288366925884778E-2</v>
      </c>
      <c r="O194" s="9">
        <v>0.1501787842669845</v>
      </c>
      <c r="P194" s="7">
        <v>3980.9920634920641</v>
      </c>
      <c r="Q194" s="7">
        <v>14.88575226154579</v>
      </c>
      <c r="R194" s="7">
        <v>447.17580452920151</v>
      </c>
      <c r="S194" s="7">
        <v>2977.6230158730159</v>
      </c>
      <c r="T194" s="16">
        <v>252849</v>
      </c>
      <c r="U194" t="s">
        <v>34</v>
      </c>
      <c r="V194" t="s">
        <v>45</v>
      </c>
      <c r="W194" t="s">
        <v>46</v>
      </c>
      <c r="X194" t="b">
        <f t="shared" ref="X194:X256" si="3">NOT(AND(G194=0,K194&gt;1000000))</f>
        <v>1</v>
      </c>
    </row>
    <row r="195" spans="1:24" x14ac:dyDescent="0.3">
      <c r="A195" s="6">
        <v>223</v>
      </c>
      <c r="B195" s="11">
        <v>44248</v>
      </c>
      <c r="C195" t="s">
        <v>35</v>
      </c>
      <c r="D195" t="s">
        <v>37</v>
      </c>
      <c r="E195" s="6">
        <v>89459845</v>
      </c>
      <c r="F195" s="6">
        <v>49655</v>
      </c>
      <c r="G195" s="16">
        <v>9444.1200000000008</v>
      </c>
      <c r="H195" s="6">
        <v>907</v>
      </c>
      <c r="I195" s="6">
        <v>18</v>
      </c>
      <c r="J195" s="6">
        <v>2</v>
      </c>
      <c r="K195" s="16">
        <v>15962</v>
      </c>
      <c r="L195" s="8">
        <v>0.69015217934545503</v>
      </c>
      <c r="M195" s="9">
        <v>1.82660356459571E-2</v>
      </c>
      <c r="N195" s="9">
        <v>1.984564498346196E-2</v>
      </c>
      <c r="O195" s="9">
        <v>0.1111111111111111</v>
      </c>
      <c r="P195" s="7">
        <v>7981</v>
      </c>
      <c r="Q195" s="7">
        <v>10.412480705622929</v>
      </c>
      <c r="R195" s="7">
        <v>524.6733333333334</v>
      </c>
      <c r="S195" s="7">
        <v>4722.0600000000004</v>
      </c>
      <c r="T195" s="16">
        <v>6517.8799999999992</v>
      </c>
      <c r="U195" t="s">
        <v>34</v>
      </c>
      <c r="V195" t="s">
        <v>38</v>
      </c>
      <c r="W195" t="s">
        <v>39</v>
      </c>
      <c r="X195" t="b">
        <f t="shared" si="3"/>
        <v>1</v>
      </c>
    </row>
    <row r="196" spans="1:24" x14ac:dyDescent="0.3">
      <c r="A196" s="6">
        <v>224</v>
      </c>
      <c r="B196" s="11">
        <v>44248</v>
      </c>
      <c r="C196" t="s">
        <v>35</v>
      </c>
      <c r="D196" t="s">
        <v>37</v>
      </c>
      <c r="E196" s="6">
        <v>127823</v>
      </c>
      <c r="F196" s="6">
        <v>478400</v>
      </c>
      <c r="G196" s="16">
        <v>17476.2</v>
      </c>
      <c r="H196" s="6">
        <v>2392</v>
      </c>
      <c r="I196" s="6">
        <v>48</v>
      </c>
      <c r="J196" s="6">
        <v>5</v>
      </c>
      <c r="K196" s="16">
        <v>12910</v>
      </c>
      <c r="L196" s="8">
        <v>-0.26128105652258499</v>
      </c>
      <c r="M196" s="9">
        <v>5.0000000000000001E-3</v>
      </c>
      <c r="N196" s="9">
        <v>2.006688963210702E-2</v>
      </c>
      <c r="O196" s="9">
        <v>0.1041666666666667</v>
      </c>
      <c r="P196" s="7">
        <v>2582</v>
      </c>
      <c r="Q196" s="7">
        <v>7.306103678929766</v>
      </c>
      <c r="R196" s="7">
        <v>364.08749999999998</v>
      </c>
      <c r="S196" s="7">
        <v>3495.24</v>
      </c>
      <c r="T196" s="16">
        <v>-4566.2000000000007</v>
      </c>
      <c r="U196" t="s">
        <v>34</v>
      </c>
      <c r="V196" t="s">
        <v>38</v>
      </c>
      <c r="W196" t="s">
        <v>40</v>
      </c>
      <c r="X196" t="b">
        <f t="shared" si="3"/>
        <v>1</v>
      </c>
    </row>
    <row r="197" spans="1:24" x14ac:dyDescent="0.3">
      <c r="A197" s="6">
        <v>225</v>
      </c>
      <c r="B197" s="11">
        <v>44248</v>
      </c>
      <c r="C197" t="s">
        <v>35</v>
      </c>
      <c r="D197" t="s">
        <v>41</v>
      </c>
      <c r="E197" s="6">
        <v>10934</v>
      </c>
      <c r="F197" s="6">
        <v>713896</v>
      </c>
      <c r="G197" s="16">
        <v>30801</v>
      </c>
      <c r="H197" s="6">
        <v>4507</v>
      </c>
      <c r="I197" s="6">
        <v>90</v>
      </c>
      <c r="J197" s="6">
        <v>20</v>
      </c>
      <c r="K197" s="16">
        <v>159620</v>
      </c>
      <c r="L197" s="8">
        <v>4.1822992759975328</v>
      </c>
      <c r="M197" s="9">
        <v>6.3132445062025842E-3</v>
      </c>
      <c r="N197" s="9">
        <v>1.9968937208786331E-2</v>
      </c>
      <c r="O197" s="9">
        <v>0.22222222222222221</v>
      </c>
      <c r="P197" s="7">
        <v>7981</v>
      </c>
      <c r="Q197" s="7">
        <v>6.8340359440869758</v>
      </c>
      <c r="R197" s="7">
        <v>342.23333333333329</v>
      </c>
      <c r="S197" s="7">
        <v>1540.05</v>
      </c>
      <c r="T197" s="16">
        <v>128819</v>
      </c>
      <c r="U197" t="s">
        <v>34</v>
      </c>
      <c r="V197" t="s">
        <v>42</v>
      </c>
      <c r="W197" t="s">
        <v>43</v>
      </c>
      <c r="X197" t="b">
        <f t="shared" si="3"/>
        <v>1</v>
      </c>
    </row>
    <row r="198" spans="1:24" x14ac:dyDescent="0.3">
      <c r="A198" s="6">
        <v>230</v>
      </c>
      <c r="B198" s="11">
        <v>44248</v>
      </c>
      <c r="C198" t="s">
        <v>35</v>
      </c>
      <c r="D198" t="s">
        <v>41</v>
      </c>
      <c r="E198" s="6">
        <v>374754</v>
      </c>
      <c r="F198" s="6">
        <v>300900</v>
      </c>
      <c r="G198" s="16">
        <v>65006.3</v>
      </c>
      <c r="H198" s="6">
        <v>3009</v>
      </c>
      <c r="I198" s="6">
        <v>89</v>
      </c>
      <c r="J198" s="6">
        <v>17</v>
      </c>
      <c r="K198" s="16">
        <v>84677</v>
      </c>
      <c r="L198" s="8">
        <v>0.30259682523078518</v>
      </c>
      <c r="M198" s="9">
        <v>0.01</v>
      </c>
      <c r="N198" s="9">
        <v>2.9577932868062481E-2</v>
      </c>
      <c r="O198" s="9">
        <v>0.1910112359550562</v>
      </c>
      <c r="P198" s="7">
        <v>4981</v>
      </c>
      <c r="Q198" s="7">
        <v>21.603954802259889</v>
      </c>
      <c r="R198" s="7">
        <v>730.40786516853939</v>
      </c>
      <c r="S198" s="7">
        <v>3823.9</v>
      </c>
      <c r="T198" s="16">
        <v>19670.7</v>
      </c>
      <c r="U198" t="s">
        <v>34</v>
      </c>
      <c r="V198" t="s">
        <v>36</v>
      </c>
      <c r="W198" t="s">
        <v>43</v>
      </c>
      <c r="X198" t="b">
        <f t="shared" si="3"/>
        <v>1</v>
      </c>
    </row>
    <row r="199" spans="1:24" x14ac:dyDescent="0.3">
      <c r="A199" s="6">
        <v>231</v>
      </c>
      <c r="B199" s="11">
        <v>44248</v>
      </c>
      <c r="C199" t="s">
        <v>35</v>
      </c>
      <c r="D199" t="s">
        <v>44</v>
      </c>
      <c r="E199" s="6">
        <v>39889</v>
      </c>
      <c r="F199" s="6">
        <v>42080000</v>
      </c>
      <c r="G199" s="16">
        <v>25023.200000000001</v>
      </c>
      <c r="H199" s="6">
        <v>4208</v>
      </c>
      <c r="I199" s="6">
        <v>67</v>
      </c>
      <c r="J199" s="6">
        <v>10</v>
      </c>
      <c r="K199" s="16">
        <v>31710</v>
      </c>
      <c r="L199" s="8">
        <v>0.26722401611304708</v>
      </c>
      <c r="M199" s="9">
        <v>1E-4</v>
      </c>
      <c r="N199" s="9">
        <v>1.5922053231939161E-2</v>
      </c>
      <c r="O199" s="9">
        <v>0.1492537313432836</v>
      </c>
      <c r="P199" s="7">
        <v>3171</v>
      </c>
      <c r="Q199" s="7">
        <v>5.9465779467680608</v>
      </c>
      <c r="R199" s="7">
        <v>373.48059701492542</v>
      </c>
      <c r="S199" s="7">
        <v>2502.3200000000002</v>
      </c>
      <c r="T199" s="16">
        <v>6686.7999999999993</v>
      </c>
      <c r="U199" t="s">
        <v>34</v>
      </c>
      <c r="V199" t="s">
        <v>45</v>
      </c>
      <c r="W199" t="s">
        <v>46</v>
      </c>
      <c r="X199" t="b">
        <f t="shared" si="3"/>
        <v>1</v>
      </c>
    </row>
    <row r="200" spans="1:24" x14ac:dyDescent="0.3">
      <c r="A200" s="6">
        <v>289</v>
      </c>
      <c r="B200" s="11">
        <v>44254</v>
      </c>
      <c r="C200" t="s">
        <v>33</v>
      </c>
      <c r="D200" t="s">
        <v>37</v>
      </c>
      <c r="E200" s="6">
        <v>89459845</v>
      </c>
      <c r="F200" s="6">
        <v>4662</v>
      </c>
      <c r="G200" s="16">
        <v>1754.25</v>
      </c>
      <c r="H200" s="6">
        <v>83</v>
      </c>
      <c r="I200" s="6">
        <v>2</v>
      </c>
      <c r="J200" s="6">
        <v>0</v>
      </c>
      <c r="K200" s="16">
        <v>0</v>
      </c>
      <c r="L200" s="8">
        <v>0</v>
      </c>
      <c r="M200" s="9">
        <v>1.7803517803517799E-2</v>
      </c>
      <c r="N200" s="9">
        <v>2.4096385542168679E-2</v>
      </c>
      <c r="O200" s="9">
        <v>0</v>
      </c>
      <c r="P200" s="7">
        <v>0</v>
      </c>
      <c r="Q200" s="7">
        <v>21.1355421686747</v>
      </c>
      <c r="R200" s="7">
        <v>877.125</v>
      </c>
      <c r="S200" s="7">
        <v>0</v>
      </c>
      <c r="T200" s="16">
        <v>0</v>
      </c>
      <c r="U200" t="s">
        <v>34</v>
      </c>
      <c r="V200" t="s">
        <v>38</v>
      </c>
      <c r="W200" t="s">
        <v>39</v>
      </c>
      <c r="X200" t="b">
        <f t="shared" si="3"/>
        <v>1</v>
      </c>
    </row>
    <row r="201" spans="1:24" x14ac:dyDescent="0.3">
      <c r="A201" s="6">
        <v>290</v>
      </c>
      <c r="B201" s="11">
        <v>44254</v>
      </c>
      <c r="C201" t="s">
        <v>33</v>
      </c>
      <c r="D201" t="s">
        <v>37</v>
      </c>
      <c r="E201" s="6">
        <v>127823</v>
      </c>
      <c r="F201" s="6">
        <v>40004</v>
      </c>
      <c r="G201" s="16">
        <v>1487.24</v>
      </c>
      <c r="H201" s="6">
        <v>243</v>
      </c>
      <c r="I201" s="6">
        <v>5</v>
      </c>
      <c r="J201" s="6">
        <v>0</v>
      </c>
      <c r="K201" s="16">
        <v>0</v>
      </c>
      <c r="L201" s="8">
        <v>0</v>
      </c>
      <c r="M201" s="9">
        <v>6.0743925607439258E-3</v>
      </c>
      <c r="N201" s="9">
        <v>2.0576131687242798E-2</v>
      </c>
      <c r="O201" s="9">
        <v>0</v>
      </c>
      <c r="P201" s="7">
        <v>0</v>
      </c>
      <c r="Q201" s="7">
        <v>6.1203292181069946</v>
      </c>
      <c r="R201" s="7">
        <v>297.44799999999998</v>
      </c>
      <c r="S201" s="7">
        <v>0</v>
      </c>
      <c r="T201" s="16">
        <v>0</v>
      </c>
      <c r="U201" t="s">
        <v>34</v>
      </c>
      <c r="V201" t="s">
        <v>38</v>
      </c>
      <c r="W201" t="s">
        <v>40</v>
      </c>
      <c r="X201" t="b">
        <f t="shared" si="3"/>
        <v>1</v>
      </c>
    </row>
    <row r="202" spans="1:24" x14ac:dyDescent="0.3">
      <c r="A202" s="6">
        <v>291</v>
      </c>
      <c r="B202" s="11">
        <v>44254</v>
      </c>
      <c r="C202" t="s">
        <v>33</v>
      </c>
      <c r="D202" t="s">
        <v>41</v>
      </c>
      <c r="E202" s="6">
        <v>10934</v>
      </c>
      <c r="F202" s="6">
        <v>44000</v>
      </c>
      <c r="G202" s="16">
        <v>5721.83</v>
      </c>
      <c r="H202" s="6">
        <v>440</v>
      </c>
      <c r="I202" s="6">
        <v>15</v>
      </c>
      <c r="J202" s="6">
        <v>3</v>
      </c>
      <c r="K202" s="16">
        <v>23943</v>
      </c>
      <c r="L202" s="8">
        <v>3.1845004133293018</v>
      </c>
      <c r="M202" s="9">
        <v>0.01</v>
      </c>
      <c r="N202" s="9">
        <v>3.4090909090909088E-2</v>
      </c>
      <c r="O202" s="9">
        <v>0.2</v>
      </c>
      <c r="P202" s="7">
        <v>7981</v>
      </c>
      <c r="Q202" s="7">
        <v>13.00415909090909</v>
      </c>
      <c r="R202" s="7">
        <v>381.45533333333327</v>
      </c>
      <c r="S202" s="7">
        <v>1907.2766666666671</v>
      </c>
      <c r="T202" s="16">
        <v>18221.169999999998</v>
      </c>
      <c r="U202" t="s">
        <v>34</v>
      </c>
      <c r="V202" t="s">
        <v>42</v>
      </c>
      <c r="W202" t="s">
        <v>43</v>
      </c>
      <c r="X202" t="b">
        <f t="shared" si="3"/>
        <v>1</v>
      </c>
    </row>
    <row r="203" spans="1:24" x14ac:dyDescent="0.3">
      <c r="A203" s="6">
        <v>296</v>
      </c>
      <c r="B203" s="11">
        <v>44254</v>
      </c>
      <c r="C203" t="s">
        <v>33</v>
      </c>
      <c r="D203" t="s">
        <v>41</v>
      </c>
      <c r="E203" s="6">
        <v>374754</v>
      </c>
      <c r="F203" s="6">
        <v>24018</v>
      </c>
      <c r="G203" s="16">
        <v>3524.08</v>
      </c>
      <c r="H203" s="6">
        <v>298</v>
      </c>
      <c r="I203" s="6">
        <v>6</v>
      </c>
      <c r="J203" s="6">
        <v>1</v>
      </c>
      <c r="K203" s="16">
        <v>4661</v>
      </c>
      <c r="L203" s="8">
        <v>0.32261469660166631</v>
      </c>
      <c r="M203" s="9">
        <v>1.2407361145807309E-2</v>
      </c>
      <c r="N203" s="9">
        <v>2.0134228187919458E-2</v>
      </c>
      <c r="O203" s="9">
        <v>0.16666666666666671</v>
      </c>
      <c r="P203" s="7">
        <v>4661</v>
      </c>
      <c r="Q203" s="7">
        <v>11.825771812080539</v>
      </c>
      <c r="R203" s="7">
        <v>587.34666666666669</v>
      </c>
      <c r="S203" s="7">
        <v>3524.08</v>
      </c>
      <c r="T203" s="16">
        <v>1136.92</v>
      </c>
      <c r="U203" t="s">
        <v>34</v>
      </c>
      <c r="V203" t="s">
        <v>36</v>
      </c>
      <c r="W203" t="s">
        <v>43</v>
      </c>
      <c r="X203" t="b">
        <f t="shared" si="3"/>
        <v>1</v>
      </c>
    </row>
    <row r="204" spans="1:24" x14ac:dyDescent="0.3">
      <c r="A204" s="6">
        <v>297</v>
      </c>
      <c r="B204" s="11">
        <v>44254</v>
      </c>
      <c r="C204" t="s">
        <v>33</v>
      </c>
      <c r="D204" t="s">
        <v>44</v>
      </c>
      <c r="E204" s="6">
        <v>39889</v>
      </c>
      <c r="F204" s="6">
        <v>182546</v>
      </c>
      <c r="G204" s="16">
        <v>2791.06</v>
      </c>
      <c r="H204" s="6">
        <v>426</v>
      </c>
      <c r="I204" s="6">
        <v>9</v>
      </c>
      <c r="J204" s="6">
        <v>1</v>
      </c>
      <c r="K204" s="16">
        <v>3981</v>
      </c>
      <c r="L204" s="8">
        <v>0.42633981354754108</v>
      </c>
      <c r="M204" s="9">
        <v>2.3336583655626528E-3</v>
      </c>
      <c r="N204" s="9">
        <v>2.1126760563380281E-2</v>
      </c>
      <c r="O204" s="9">
        <v>0.1111111111111111</v>
      </c>
      <c r="P204" s="7">
        <v>3981</v>
      </c>
      <c r="Q204" s="7">
        <v>6.5517840375586864</v>
      </c>
      <c r="R204" s="7">
        <v>310.11777777777769</v>
      </c>
      <c r="S204" s="7">
        <v>2791.06</v>
      </c>
      <c r="T204" s="16">
        <v>1189.94</v>
      </c>
      <c r="U204" t="s">
        <v>34</v>
      </c>
      <c r="V204" t="s">
        <v>45</v>
      </c>
      <c r="W204" t="s">
        <v>46</v>
      </c>
      <c r="X204" t="b">
        <f t="shared" si="3"/>
        <v>1</v>
      </c>
    </row>
    <row r="205" spans="1:24" x14ac:dyDescent="0.3">
      <c r="A205" s="6">
        <v>300</v>
      </c>
      <c r="B205" s="11">
        <v>44255</v>
      </c>
      <c r="C205" t="s">
        <v>35</v>
      </c>
      <c r="D205" t="s">
        <v>37</v>
      </c>
      <c r="E205" s="6">
        <v>89459845</v>
      </c>
      <c r="F205" s="6">
        <v>11554</v>
      </c>
      <c r="G205" s="16">
        <v>3529.73</v>
      </c>
      <c r="H205" s="6">
        <v>187</v>
      </c>
      <c r="I205" s="6">
        <v>5</v>
      </c>
      <c r="J205" s="6">
        <v>1</v>
      </c>
      <c r="K205" s="16">
        <v>8714</v>
      </c>
      <c r="L205" s="8">
        <v>1.46874406824318</v>
      </c>
      <c r="M205" s="9">
        <v>1.6184871040332349E-2</v>
      </c>
      <c r="N205" s="9">
        <v>2.6737967914438499E-2</v>
      </c>
      <c r="O205" s="9">
        <v>0.2</v>
      </c>
      <c r="P205" s="7">
        <v>8714</v>
      </c>
      <c r="Q205" s="7">
        <v>18.875561497326199</v>
      </c>
      <c r="R205" s="7">
        <v>705.94600000000003</v>
      </c>
      <c r="S205" s="7">
        <v>3529.73</v>
      </c>
      <c r="T205" s="16">
        <v>5184.2700000000004</v>
      </c>
      <c r="U205" t="s">
        <v>34</v>
      </c>
      <c r="V205" t="s">
        <v>38</v>
      </c>
      <c r="W205" t="s">
        <v>39</v>
      </c>
      <c r="X205" t="b">
        <f t="shared" si="3"/>
        <v>1</v>
      </c>
    </row>
    <row r="206" spans="1:24" x14ac:dyDescent="0.3">
      <c r="A206" s="6">
        <v>301</v>
      </c>
      <c r="B206" s="11">
        <v>44255</v>
      </c>
      <c r="C206" t="s">
        <v>35</v>
      </c>
      <c r="D206" t="s">
        <v>37</v>
      </c>
      <c r="E206" s="6">
        <v>127823</v>
      </c>
      <c r="F206" s="6">
        <v>55625</v>
      </c>
      <c r="G206" s="16">
        <v>384.75</v>
      </c>
      <c r="H206" s="6">
        <v>487</v>
      </c>
      <c r="I206" s="6">
        <v>1</v>
      </c>
      <c r="J206" s="6">
        <v>0</v>
      </c>
      <c r="K206" s="16">
        <v>0</v>
      </c>
      <c r="L206" s="8">
        <v>0</v>
      </c>
      <c r="M206" s="9">
        <v>8.7550561797752804E-3</v>
      </c>
      <c r="N206" s="9">
        <v>2.0533880903490761E-3</v>
      </c>
      <c r="O206" s="9">
        <v>0</v>
      </c>
      <c r="P206" s="7">
        <v>0</v>
      </c>
      <c r="Q206" s="7">
        <v>0.79004106776180694</v>
      </c>
      <c r="R206" s="7">
        <v>384.75</v>
      </c>
      <c r="S206" s="7">
        <v>0</v>
      </c>
      <c r="T206" s="16">
        <v>0</v>
      </c>
      <c r="U206" t="s">
        <v>34</v>
      </c>
      <c r="V206" t="s">
        <v>38</v>
      </c>
      <c r="W206" t="s">
        <v>40</v>
      </c>
      <c r="X206" t="b">
        <f t="shared" si="3"/>
        <v>1</v>
      </c>
    </row>
    <row r="207" spans="1:24" x14ac:dyDescent="0.3">
      <c r="A207" s="6">
        <v>302</v>
      </c>
      <c r="B207" s="11">
        <v>44255</v>
      </c>
      <c r="C207" t="s">
        <v>35</v>
      </c>
      <c r="D207" t="s">
        <v>41</v>
      </c>
      <c r="E207" s="6">
        <v>10934</v>
      </c>
      <c r="F207" s="6">
        <v>129025</v>
      </c>
      <c r="G207" s="16">
        <v>9892.77</v>
      </c>
      <c r="H207" s="6">
        <v>909</v>
      </c>
      <c r="I207" s="6">
        <v>21</v>
      </c>
      <c r="J207" s="6">
        <v>5</v>
      </c>
      <c r="K207" s="16">
        <v>37450</v>
      </c>
      <c r="L207" s="8">
        <v>2.7855929128039971</v>
      </c>
      <c r="M207" s="9">
        <v>7.0451462894787834E-3</v>
      </c>
      <c r="N207" s="9">
        <v>2.3102310231023101E-2</v>
      </c>
      <c r="O207" s="9">
        <v>0.23809523809523811</v>
      </c>
      <c r="P207" s="7">
        <v>7490</v>
      </c>
      <c r="Q207" s="7">
        <v>10.88313531353135</v>
      </c>
      <c r="R207" s="7">
        <v>471.08428571428573</v>
      </c>
      <c r="S207" s="7">
        <v>1978.5540000000001</v>
      </c>
      <c r="T207" s="16">
        <v>27557.23</v>
      </c>
      <c r="U207" t="s">
        <v>34</v>
      </c>
      <c r="V207" t="s">
        <v>42</v>
      </c>
      <c r="W207" t="s">
        <v>43</v>
      </c>
      <c r="X207" t="b">
        <f t="shared" si="3"/>
        <v>1</v>
      </c>
    </row>
    <row r="208" spans="1:24" x14ac:dyDescent="0.3">
      <c r="A208" s="6">
        <v>307</v>
      </c>
      <c r="B208" s="11">
        <v>44255</v>
      </c>
      <c r="C208" t="s">
        <v>35</v>
      </c>
      <c r="D208" t="s">
        <v>41</v>
      </c>
      <c r="E208" s="6">
        <v>374754</v>
      </c>
      <c r="F208" s="6">
        <v>94058</v>
      </c>
      <c r="G208" s="16">
        <v>4845.6499999999996</v>
      </c>
      <c r="H208" s="6">
        <v>594</v>
      </c>
      <c r="I208" s="6">
        <v>12</v>
      </c>
      <c r="J208" s="6">
        <v>1</v>
      </c>
      <c r="K208" s="16">
        <v>5008</v>
      </c>
      <c r="L208" s="8">
        <v>3.3504277031977212E-2</v>
      </c>
      <c r="M208" s="9">
        <v>6.3152522911395096E-3</v>
      </c>
      <c r="N208" s="9">
        <v>2.02020202020202E-2</v>
      </c>
      <c r="O208" s="9">
        <v>8.3333333333333329E-2</v>
      </c>
      <c r="P208" s="7">
        <v>5008</v>
      </c>
      <c r="Q208" s="7">
        <v>8.1576599326599322</v>
      </c>
      <c r="R208" s="7">
        <v>403.80416666666662</v>
      </c>
      <c r="S208" s="7">
        <v>4845.6499999999996</v>
      </c>
      <c r="T208" s="16">
        <v>162.35000000000039</v>
      </c>
      <c r="U208" t="s">
        <v>34</v>
      </c>
      <c r="V208" t="s">
        <v>36</v>
      </c>
      <c r="W208" t="s">
        <v>43</v>
      </c>
      <c r="X208" t="b">
        <f t="shared" si="3"/>
        <v>1</v>
      </c>
    </row>
    <row r="209" spans="1:24" x14ac:dyDescent="0.3">
      <c r="A209" s="6">
        <v>308</v>
      </c>
      <c r="B209" s="11">
        <v>44255</v>
      </c>
      <c r="C209" t="s">
        <v>35</v>
      </c>
      <c r="D209" t="s">
        <v>44</v>
      </c>
      <c r="E209" s="6">
        <v>39889</v>
      </c>
      <c r="F209" s="6">
        <v>8490000</v>
      </c>
      <c r="G209" s="16">
        <v>6822.62</v>
      </c>
      <c r="H209" s="6">
        <v>849</v>
      </c>
      <c r="I209" s="6">
        <v>18</v>
      </c>
      <c r="J209" s="6">
        <v>2</v>
      </c>
      <c r="K209" s="16">
        <v>7030</v>
      </c>
      <c r="L209" s="8">
        <v>3.039594759784366E-2</v>
      </c>
      <c r="M209" s="9">
        <v>1E-4</v>
      </c>
      <c r="N209" s="9">
        <v>2.1201413427561839E-2</v>
      </c>
      <c r="O209" s="9">
        <v>0.1111111111111111</v>
      </c>
      <c r="P209" s="7">
        <v>3515</v>
      </c>
      <c r="Q209" s="7">
        <v>8.0360659599528859</v>
      </c>
      <c r="R209" s="7">
        <v>379.03444444444438</v>
      </c>
      <c r="S209" s="7">
        <v>3411.31</v>
      </c>
      <c r="T209" s="16">
        <v>207.38000000000011</v>
      </c>
      <c r="U209" t="s">
        <v>34</v>
      </c>
      <c r="V209" t="s">
        <v>45</v>
      </c>
      <c r="W209" t="s">
        <v>46</v>
      </c>
      <c r="X209" t="b">
        <f t="shared" si="3"/>
        <v>1</v>
      </c>
    </row>
    <row r="210" spans="1:24" x14ac:dyDescent="0.3">
      <c r="A210" s="6">
        <v>3</v>
      </c>
      <c r="B210" s="11">
        <v>44228</v>
      </c>
      <c r="C210" t="s">
        <v>21</v>
      </c>
      <c r="D210" t="s">
        <v>37</v>
      </c>
      <c r="E210" s="6">
        <v>89459845</v>
      </c>
      <c r="F210" s="6">
        <v>22850</v>
      </c>
      <c r="G210" s="16">
        <v>5221.6000000000004</v>
      </c>
      <c r="H210" s="6">
        <v>457</v>
      </c>
      <c r="I210" s="6">
        <v>9</v>
      </c>
      <c r="J210" s="6">
        <v>1</v>
      </c>
      <c r="K210" s="16">
        <v>7981</v>
      </c>
      <c r="L210" s="8">
        <v>0.52845870997395428</v>
      </c>
      <c r="M210" s="9">
        <v>0.02</v>
      </c>
      <c r="N210" s="9">
        <v>1.9693654266958429E-2</v>
      </c>
      <c r="O210" s="9">
        <v>0.1111111111111111</v>
      </c>
      <c r="P210" s="7">
        <v>7981</v>
      </c>
      <c r="Q210" s="7">
        <v>11.42582056892779</v>
      </c>
      <c r="R210" s="7">
        <v>580.17777777777781</v>
      </c>
      <c r="S210" s="7">
        <v>5221.6000000000004</v>
      </c>
      <c r="T210" s="16">
        <v>2759.4</v>
      </c>
      <c r="U210" t="s">
        <v>23</v>
      </c>
      <c r="V210" t="s">
        <v>38</v>
      </c>
      <c r="W210" t="s">
        <v>39</v>
      </c>
      <c r="X210" t="b">
        <f t="shared" si="3"/>
        <v>1</v>
      </c>
    </row>
    <row r="211" spans="1:24" x14ac:dyDescent="0.3">
      <c r="A211" s="6">
        <v>4</v>
      </c>
      <c r="B211" s="11">
        <v>44228</v>
      </c>
      <c r="C211" t="s">
        <v>21</v>
      </c>
      <c r="D211" t="s">
        <v>37</v>
      </c>
      <c r="E211" s="6">
        <v>127823</v>
      </c>
      <c r="F211" s="6">
        <v>147038</v>
      </c>
      <c r="G211" s="16">
        <v>6037</v>
      </c>
      <c r="H211" s="6">
        <v>1196</v>
      </c>
      <c r="I211" s="6">
        <v>24</v>
      </c>
      <c r="J211" s="6">
        <v>1</v>
      </c>
      <c r="K211" s="16">
        <v>2114</v>
      </c>
      <c r="L211" s="8">
        <v>-0.64982607255259239</v>
      </c>
      <c r="M211" s="9">
        <v>8.1339517675702872E-3</v>
      </c>
      <c r="N211" s="9">
        <v>2.006688963210702E-2</v>
      </c>
      <c r="O211" s="9">
        <v>4.1666666666666657E-2</v>
      </c>
      <c r="P211" s="7">
        <v>2114</v>
      </c>
      <c r="Q211" s="7">
        <v>5.0476588628762542</v>
      </c>
      <c r="R211" s="7">
        <v>251.54166666666671</v>
      </c>
      <c r="S211" s="7">
        <v>6037</v>
      </c>
      <c r="T211" s="16">
        <v>-3923</v>
      </c>
      <c r="U211" t="s">
        <v>23</v>
      </c>
      <c r="V211" t="s">
        <v>38</v>
      </c>
      <c r="W211" t="s">
        <v>40</v>
      </c>
      <c r="X211" t="b">
        <f t="shared" si="3"/>
        <v>1</v>
      </c>
    </row>
    <row r="212" spans="1:24" x14ac:dyDescent="0.3">
      <c r="A212" s="6">
        <v>5</v>
      </c>
      <c r="B212" s="11">
        <v>44228</v>
      </c>
      <c r="C212" t="s">
        <v>21</v>
      </c>
      <c r="D212" t="s">
        <v>41</v>
      </c>
      <c r="E212" s="6">
        <v>10934</v>
      </c>
      <c r="F212" s="6">
        <v>225800</v>
      </c>
      <c r="G212" s="16">
        <v>29962.2</v>
      </c>
      <c r="H212" s="6">
        <v>2258</v>
      </c>
      <c r="I212" s="6">
        <v>49</v>
      </c>
      <c r="J212" s="6">
        <v>10</v>
      </c>
      <c r="K212" s="16">
        <v>84490</v>
      </c>
      <c r="L212" s="8">
        <v>1.819886390184966</v>
      </c>
      <c r="M212" s="9">
        <v>0.01</v>
      </c>
      <c r="N212" s="9">
        <v>2.1700620017714788E-2</v>
      </c>
      <c r="O212" s="9">
        <v>0.2040816326530612</v>
      </c>
      <c r="P212" s="7">
        <v>8449</v>
      </c>
      <c r="Q212" s="7">
        <v>13.26935341009743</v>
      </c>
      <c r="R212" s="7">
        <v>611.47346938775513</v>
      </c>
      <c r="S212" s="7">
        <v>2996.22</v>
      </c>
      <c r="T212" s="16">
        <v>54527.8</v>
      </c>
      <c r="U212" t="s">
        <v>23</v>
      </c>
      <c r="V212" t="s">
        <v>42</v>
      </c>
      <c r="W212" t="s">
        <v>43</v>
      </c>
      <c r="X212" t="b">
        <f t="shared" si="3"/>
        <v>1</v>
      </c>
    </row>
    <row r="213" spans="1:24" x14ac:dyDescent="0.3">
      <c r="A213" s="6">
        <v>10</v>
      </c>
      <c r="B213" s="11">
        <v>44228</v>
      </c>
      <c r="C213" t="s">
        <v>21</v>
      </c>
      <c r="D213" t="s">
        <v>41</v>
      </c>
      <c r="E213" s="6">
        <v>374754</v>
      </c>
      <c r="F213" s="6">
        <v>120436</v>
      </c>
      <c r="G213" s="16">
        <v>23604.1</v>
      </c>
      <c r="H213" s="6">
        <v>1498</v>
      </c>
      <c r="I213" s="6">
        <v>49</v>
      </c>
      <c r="J213" s="6">
        <v>7</v>
      </c>
      <c r="K213" s="16">
        <v>39081</v>
      </c>
      <c r="L213" s="8">
        <v>0.65568693574421399</v>
      </c>
      <c r="M213" s="9">
        <v>1.243814141950912E-2</v>
      </c>
      <c r="N213" s="9">
        <v>3.2710280373831772E-2</v>
      </c>
      <c r="O213" s="9">
        <v>0.14285714285714279</v>
      </c>
      <c r="P213" s="7">
        <v>5583</v>
      </c>
      <c r="Q213" s="7">
        <v>15.75707610146862</v>
      </c>
      <c r="R213" s="7">
        <v>481.71632653061221</v>
      </c>
      <c r="S213" s="7">
        <v>3372.014285714286</v>
      </c>
      <c r="T213" s="16">
        <v>15476.9</v>
      </c>
      <c r="U213" t="s">
        <v>23</v>
      </c>
      <c r="V213" t="s">
        <v>36</v>
      </c>
      <c r="W213" t="s">
        <v>43</v>
      </c>
      <c r="X213" t="b">
        <f t="shared" si="3"/>
        <v>1</v>
      </c>
    </row>
    <row r="214" spans="1:24" x14ac:dyDescent="0.3">
      <c r="A214" s="6">
        <v>11</v>
      </c>
      <c r="B214" s="11">
        <v>44228</v>
      </c>
      <c r="C214" t="s">
        <v>21</v>
      </c>
      <c r="D214" t="s">
        <v>44</v>
      </c>
      <c r="E214" s="6">
        <v>39889</v>
      </c>
      <c r="F214" s="6">
        <v>20900000</v>
      </c>
      <c r="G214" s="16">
        <v>931.99</v>
      </c>
      <c r="H214" s="6">
        <v>2090</v>
      </c>
      <c r="I214" s="6">
        <v>3</v>
      </c>
      <c r="J214" s="6">
        <v>0</v>
      </c>
      <c r="K214" s="16">
        <v>0</v>
      </c>
      <c r="L214" s="8">
        <v>0</v>
      </c>
      <c r="M214" s="9">
        <v>1E-4</v>
      </c>
      <c r="N214" s="9">
        <v>1.4354066985645931E-3</v>
      </c>
      <c r="O214" s="9">
        <v>0</v>
      </c>
      <c r="P214" s="7">
        <v>0</v>
      </c>
      <c r="Q214" s="7">
        <v>0.44592822966507178</v>
      </c>
      <c r="R214" s="7">
        <v>310.66333333333341</v>
      </c>
      <c r="S214" s="7">
        <v>0</v>
      </c>
      <c r="T214" s="16">
        <v>0</v>
      </c>
      <c r="U214" t="s">
        <v>23</v>
      </c>
      <c r="V214" t="s">
        <v>45</v>
      </c>
      <c r="W214" t="s">
        <v>46</v>
      </c>
      <c r="X214" t="b">
        <f t="shared" si="3"/>
        <v>1</v>
      </c>
    </row>
    <row r="215" spans="1:24" x14ac:dyDescent="0.3">
      <c r="A215" s="6">
        <v>14</v>
      </c>
      <c r="B215" s="11">
        <v>44229</v>
      </c>
      <c r="C215" t="s">
        <v>29</v>
      </c>
      <c r="D215" t="s">
        <v>37</v>
      </c>
      <c r="E215" s="6">
        <v>89459845</v>
      </c>
      <c r="F215" s="6">
        <v>43806</v>
      </c>
      <c r="G215" s="16">
        <v>11446.7</v>
      </c>
      <c r="H215" s="6">
        <v>907</v>
      </c>
      <c r="I215" s="6">
        <v>18</v>
      </c>
      <c r="J215" s="6">
        <v>3</v>
      </c>
      <c r="K215" s="16">
        <v>23943</v>
      </c>
      <c r="L215" s="8">
        <v>1.091694549520823</v>
      </c>
      <c r="M215" s="9">
        <v>2.0704926265808339E-2</v>
      </c>
      <c r="N215" s="9">
        <v>1.984564498346196E-2</v>
      </c>
      <c r="O215" s="9">
        <v>0.16666666666666671</v>
      </c>
      <c r="P215" s="7">
        <v>7981</v>
      </c>
      <c r="Q215" s="7">
        <v>12.62039691289967</v>
      </c>
      <c r="R215" s="7">
        <v>635.92777777777781</v>
      </c>
      <c r="S215" s="7">
        <v>3815.5666666666671</v>
      </c>
      <c r="T215" s="16">
        <v>12496.3</v>
      </c>
      <c r="U215" t="s">
        <v>23</v>
      </c>
      <c r="V215" t="s">
        <v>38</v>
      </c>
      <c r="W215" t="s">
        <v>39</v>
      </c>
      <c r="X215" t="b">
        <f t="shared" si="3"/>
        <v>1</v>
      </c>
    </row>
    <row r="216" spans="1:24" x14ac:dyDescent="0.3">
      <c r="A216" s="6">
        <v>15</v>
      </c>
      <c r="B216" s="11">
        <v>44229</v>
      </c>
      <c r="C216" t="s">
        <v>29</v>
      </c>
      <c r="D216" t="s">
        <v>37</v>
      </c>
      <c r="E216" s="6">
        <v>127823</v>
      </c>
      <c r="F216" s="6">
        <v>314704</v>
      </c>
      <c r="G216" s="16">
        <v>15153.6</v>
      </c>
      <c r="H216" s="6">
        <v>2395</v>
      </c>
      <c r="I216" s="6">
        <v>39</v>
      </c>
      <c r="J216" s="6">
        <v>4</v>
      </c>
      <c r="K216" s="16">
        <v>12540</v>
      </c>
      <c r="L216" s="8">
        <v>-0.17247386759581879</v>
      </c>
      <c r="M216" s="9">
        <v>7.6103258935380554E-3</v>
      </c>
      <c r="N216" s="9">
        <v>1.6283924843423801E-2</v>
      </c>
      <c r="O216" s="9">
        <v>0.1025641025641026</v>
      </c>
      <c r="P216" s="7">
        <v>3135</v>
      </c>
      <c r="Q216" s="7">
        <v>6.3271816283924842</v>
      </c>
      <c r="R216" s="7">
        <v>388.55384615384622</v>
      </c>
      <c r="S216" s="7">
        <v>3788.4</v>
      </c>
      <c r="T216" s="16">
        <v>-2613.6</v>
      </c>
      <c r="U216" t="s">
        <v>23</v>
      </c>
      <c r="V216" t="s">
        <v>38</v>
      </c>
      <c r="W216" t="s">
        <v>40</v>
      </c>
      <c r="X216" t="b">
        <f t="shared" si="3"/>
        <v>1</v>
      </c>
    </row>
    <row r="217" spans="1:24" x14ac:dyDescent="0.3">
      <c r="A217" s="6">
        <v>16</v>
      </c>
      <c r="B217" s="11">
        <v>44229</v>
      </c>
      <c r="C217" t="s">
        <v>29</v>
      </c>
      <c r="D217" t="s">
        <v>41</v>
      </c>
      <c r="E217" s="6">
        <v>10934</v>
      </c>
      <c r="F217" s="6">
        <v>449200</v>
      </c>
      <c r="G217" s="16">
        <v>42301.1</v>
      </c>
      <c r="H217" s="6">
        <v>4492</v>
      </c>
      <c r="I217" s="6">
        <v>85</v>
      </c>
      <c r="J217" s="6">
        <v>17</v>
      </c>
      <c r="K217" s="16">
        <v>149141</v>
      </c>
      <c r="L217" s="8">
        <v>2.5257002772977528</v>
      </c>
      <c r="M217" s="9">
        <v>0.01</v>
      </c>
      <c r="N217" s="9">
        <v>1.8922528940338381E-2</v>
      </c>
      <c r="O217" s="9">
        <v>0.2</v>
      </c>
      <c r="P217" s="7">
        <v>8773</v>
      </c>
      <c r="Q217" s="7">
        <v>9.416985752448797</v>
      </c>
      <c r="R217" s="7">
        <v>497.66</v>
      </c>
      <c r="S217" s="7">
        <v>2488.3000000000002</v>
      </c>
      <c r="T217" s="16">
        <v>106839.9</v>
      </c>
      <c r="U217" t="s">
        <v>23</v>
      </c>
      <c r="V217" t="s">
        <v>42</v>
      </c>
      <c r="W217" t="s">
        <v>43</v>
      </c>
      <c r="X217" t="b">
        <f t="shared" si="3"/>
        <v>1</v>
      </c>
    </row>
    <row r="218" spans="1:24" x14ac:dyDescent="0.3">
      <c r="A218" s="6">
        <v>21</v>
      </c>
      <c r="B218" s="11">
        <v>44229</v>
      </c>
      <c r="C218" t="s">
        <v>29</v>
      </c>
      <c r="D218" t="s">
        <v>41</v>
      </c>
      <c r="E218" s="6">
        <v>374754</v>
      </c>
      <c r="F218" s="6">
        <v>299600</v>
      </c>
      <c r="G218" s="16">
        <v>13919.1</v>
      </c>
      <c r="H218" s="6">
        <v>2996</v>
      </c>
      <c r="I218" s="6">
        <v>19</v>
      </c>
      <c r="J218" s="6">
        <v>3</v>
      </c>
      <c r="K218" s="16">
        <v>14466</v>
      </c>
      <c r="L218" s="8">
        <v>3.9291333491389503E-2</v>
      </c>
      <c r="M218" s="9">
        <v>0.01</v>
      </c>
      <c r="N218" s="9">
        <v>6.3417890520694256E-3</v>
      </c>
      <c r="O218" s="9">
        <v>0.15789473684210531</v>
      </c>
      <c r="P218" s="7">
        <v>4822</v>
      </c>
      <c r="Q218" s="7">
        <v>4.6458945260347129</v>
      </c>
      <c r="R218" s="7">
        <v>732.58421052631581</v>
      </c>
      <c r="S218" s="7">
        <v>4639.7</v>
      </c>
      <c r="T218" s="16">
        <v>546.89999999999964</v>
      </c>
      <c r="U218" t="s">
        <v>23</v>
      </c>
      <c r="V218" t="s">
        <v>36</v>
      </c>
      <c r="W218" t="s">
        <v>43</v>
      </c>
      <c r="X218" t="b">
        <f t="shared" si="3"/>
        <v>1</v>
      </c>
    </row>
    <row r="219" spans="1:24" x14ac:dyDescent="0.3">
      <c r="A219" s="6">
        <v>22</v>
      </c>
      <c r="B219" s="11">
        <v>44229</v>
      </c>
      <c r="C219" t="s">
        <v>29</v>
      </c>
      <c r="D219" t="s">
        <v>44</v>
      </c>
      <c r="E219" s="6">
        <v>39889</v>
      </c>
      <c r="F219" s="6">
        <v>42000000</v>
      </c>
      <c r="G219" s="16">
        <v>46159.8</v>
      </c>
      <c r="H219" s="6">
        <v>4200</v>
      </c>
      <c r="I219" s="6">
        <v>92</v>
      </c>
      <c r="J219" s="6">
        <v>13</v>
      </c>
      <c r="K219" s="16">
        <v>51753</v>
      </c>
      <c r="L219" s="8">
        <v>0.121170369022396</v>
      </c>
      <c r="M219" s="9">
        <v>1E-4</v>
      </c>
      <c r="N219" s="9">
        <v>2.190476190476191E-2</v>
      </c>
      <c r="O219" s="9">
        <v>0.14130434782608689</v>
      </c>
      <c r="P219" s="7">
        <v>3981</v>
      </c>
      <c r="Q219" s="7">
        <v>10.99042857142857</v>
      </c>
      <c r="R219" s="7">
        <v>501.73695652173922</v>
      </c>
      <c r="S219" s="7">
        <v>3550.753846153847</v>
      </c>
      <c r="T219" s="16">
        <v>5593.1999999999971</v>
      </c>
      <c r="U219" t="s">
        <v>23</v>
      </c>
      <c r="V219" t="s">
        <v>45</v>
      </c>
      <c r="W219" t="s">
        <v>46</v>
      </c>
      <c r="X219" t="b">
        <f t="shared" si="3"/>
        <v>1</v>
      </c>
    </row>
    <row r="220" spans="1:24" x14ac:dyDescent="0.3">
      <c r="A220" s="6">
        <v>25</v>
      </c>
      <c r="B220" s="11">
        <v>44230</v>
      </c>
      <c r="C220" t="s">
        <v>30</v>
      </c>
      <c r="D220" t="s">
        <v>37</v>
      </c>
      <c r="E220" s="6">
        <v>89459845</v>
      </c>
      <c r="F220" s="6">
        <v>134900</v>
      </c>
      <c r="G220" s="16">
        <v>77345.5</v>
      </c>
      <c r="H220" s="6">
        <v>2698</v>
      </c>
      <c r="I220" s="6">
        <v>84</v>
      </c>
      <c r="J220" s="6">
        <v>16</v>
      </c>
      <c r="K220" s="16">
        <v>115856</v>
      </c>
      <c r="L220" s="8">
        <v>0.49790226968601919</v>
      </c>
      <c r="M220" s="9">
        <v>0.02</v>
      </c>
      <c r="N220" s="9">
        <v>3.113417346182357E-2</v>
      </c>
      <c r="O220" s="9">
        <v>0.19047619047619049</v>
      </c>
      <c r="P220" s="7">
        <v>7241</v>
      </c>
      <c r="Q220" s="7">
        <v>28.66771682727947</v>
      </c>
      <c r="R220" s="7">
        <v>920.77976190476193</v>
      </c>
      <c r="S220" s="7">
        <v>4834.09375</v>
      </c>
      <c r="T220" s="16">
        <v>38510.5</v>
      </c>
      <c r="U220" t="s">
        <v>23</v>
      </c>
      <c r="V220" t="s">
        <v>38</v>
      </c>
      <c r="W220" t="s">
        <v>39</v>
      </c>
      <c r="X220" t="b">
        <f t="shared" si="3"/>
        <v>1</v>
      </c>
    </row>
    <row r="221" spans="1:24" x14ac:dyDescent="0.3">
      <c r="A221" s="6">
        <v>26</v>
      </c>
      <c r="B221" s="11">
        <v>44230</v>
      </c>
      <c r="C221" t="s">
        <v>30</v>
      </c>
      <c r="D221" t="s">
        <v>37</v>
      </c>
      <c r="E221" s="6">
        <v>127823</v>
      </c>
      <c r="F221" s="6">
        <v>4371854</v>
      </c>
      <c r="G221" s="16">
        <v>49498.9</v>
      </c>
      <c r="H221" s="6">
        <v>7207</v>
      </c>
      <c r="I221" s="6">
        <v>144</v>
      </c>
      <c r="J221" s="6">
        <v>13</v>
      </c>
      <c r="K221" s="16">
        <v>38753</v>
      </c>
      <c r="L221" s="8">
        <v>-0.21709371319362661</v>
      </c>
      <c r="M221" s="9">
        <v>1.6484996982973361E-3</v>
      </c>
      <c r="N221" s="9">
        <v>1.998057444151519E-2</v>
      </c>
      <c r="O221" s="9">
        <v>9.0277777777777776E-2</v>
      </c>
      <c r="P221" s="7">
        <v>2981</v>
      </c>
      <c r="Q221" s="7">
        <v>6.8681698348827531</v>
      </c>
      <c r="R221" s="7">
        <v>343.74236111111111</v>
      </c>
      <c r="S221" s="7">
        <v>3807.607692307693</v>
      </c>
      <c r="T221" s="16">
        <v>-10745.9</v>
      </c>
      <c r="U221" t="s">
        <v>23</v>
      </c>
      <c r="V221" t="s">
        <v>38</v>
      </c>
      <c r="W221" t="s">
        <v>40</v>
      </c>
      <c r="X221" t="b">
        <f t="shared" si="3"/>
        <v>1</v>
      </c>
    </row>
    <row r="222" spans="1:24" x14ac:dyDescent="0.3">
      <c r="A222" s="6">
        <v>27</v>
      </c>
      <c r="B222" s="11">
        <v>44230</v>
      </c>
      <c r="C222" t="s">
        <v>30</v>
      </c>
      <c r="D222" t="s">
        <v>41</v>
      </c>
      <c r="E222" s="6">
        <v>10934</v>
      </c>
      <c r="F222" s="6">
        <v>1035261</v>
      </c>
      <c r="G222" s="16">
        <v>189341</v>
      </c>
      <c r="H222" s="6">
        <v>13503</v>
      </c>
      <c r="I222" s="6">
        <v>455</v>
      </c>
      <c r="J222" s="6">
        <v>91</v>
      </c>
      <c r="K222" s="16">
        <v>772499</v>
      </c>
      <c r="L222" s="8">
        <v>3.0799351434713031</v>
      </c>
      <c r="M222" s="9">
        <v>1.304308768513447E-2</v>
      </c>
      <c r="N222" s="9">
        <v>3.3696215655780203E-2</v>
      </c>
      <c r="O222" s="9">
        <v>0.2</v>
      </c>
      <c r="P222" s="7">
        <v>8489</v>
      </c>
      <c r="Q222" s="7">
        <v>14.02214322743094</v>
      </c>
      <c r="R222" s="7">
        <v>416.13406593406592</v>
      </c>
      <c r="S222" s="7">
        <v>2080.670329670329</v>
      </c>
      <c r="T222" s="16">
        <v>583158</v>
      </c>
      <c r="U222" t="s">
        <v>23</v>
      </c>
      <c r="V222" t="s">
        <v>42</v>
      </c>
      <c r="W222" t="s">
        <v>43</v>
      </c>
      <c r="X222" t="b">
        <f t="shared" si="3"/>
        <v>1</v>
      </c>
    </row>
    <row r="223" spans="1:24" x14ac:dyDescent="0.3">
      <c r="A223" s="6">
        <v>32</v>
      </c>
      <c r="B223" s="11">
        <v>44230</v>
      </c>
      <c r="C223" t="s">
        <v>30</v>
      </c>
      <c r="D223" t="s">
        <v>41</v>
      </c>
      <c r="E223" s="6">
        <v>374754</v>
      </c>
      <c r="F223" s="6">
        <v>667352</v>
      </c>
      <c r="G223" s="16">
        <v>194336</v>
      </c>
      <c r="H223" s="6">
        <v>8996</v>
      </c>
      <c r="I223" s="6">
        <v>342</v>
      </c>
      <c r="J223" s="6">
        <v>51</v>
      </c>
      <c r="K223" s="16">
        <v>254031</v>
      </c>
      <c r="L223" s="8">
        <v>0.30717417256710028</v>
      </c>
      <c r="M223" s="9">
        <v>1.3480142413598821E-2</v>
      </c>
      <c r="N223" s="9">
        <v>3.8016896398399287E-2</v>
      </c>
      <c r="O223" s="9">
        <v>0.14912280701754391</v>
      </c>
      <c r="P223" s="7">
        <v>4981</v>
      </c>
      <c r="Q223" s="7">
        <v>21.602489995553579</v>
      </c>
      <c r="R223" s="7">
        <v>568.23391812865498</v>
      </c>
      <c r="S223" s="7">
        <v>3810.5098039215691</v>
      </c>
      <c r="T223" s="16">
        <v>59695</v>
      </c>
      <c r="U223" t="s">
        <v>23</v>
      </c>
      <c r="V223" t="s">
        <v>36</v>
      </c>
      <c r="W223" t="s">
        <v>43</v>
      </c>
      <c r="X223" t="b">
        <f t="shared" si="3"/>
        <v>1</v>
      </c>
    </row>
    <row r="224" spans="1:24" x14ac:dyDescent="0.3">
      <c r="A224" s="6">
        <v>33</v>
      </c>
      <c r="B224" s="11">
        <v>44230</v>
      </c>
      <c r="C224" t="s">
        <v>30</v>
      </c>
      <c r="D224" t="s">
        <v>44</v>
      </c>
      <c r="E224" s="6">
        <v>39889</v>
      </c>
      <c r="F224" s="6">
        <v>125910000</v>
      </c>
      <c r="G224" s="16">
        <v>29378.3</v>
      </c>
      <c r="H224" s="6">
        <v>12591</v>
      </c>
      <c r="I224" s="6">
        <v>68</v>
      </c>
      <c r="J224" s="6">
        <v>13</v>
      </c>
      <c r="K224" s="16">
        <v>51753</v>
      </c>
      <c r="L224" s="8">
        <v>0.76160635571152857</v>
      </c>
      <c r="M224" s="9">
        <v>1E-4</v>
      </c>
      <c r="N224" s="9">
        <v>5.4006830275593679E-3</v>
      </c>
      <c r="O224" s="9">
        <v>0.19117647058823531</v>
      </c>
      <c r="P224" s="7">
        <v>3981</v>
      </c>
      <c r="Q224" s="7">
        <v>2.3332777380668732</v>
      </c>
      <c r="R224" s="7">
        <v>432.03382352941168</v>
      </c>
      <c r="S224" s="7">
        <v>2259.8692307692309</v>
      </c>
      <c r="T224" s="16">
        <v>22374.7</v>
      </c>
      <c r="U224" t="s">
        <v>23</v>
      </c>
      <c r="V224" t="s">
        <v>45</v>
      </c>
      <c r="W224" t="s">
        <v>46</v>
      </c>
      <c r="X224" t="b">
        <f t="shared" si="3"/>
        <v>1</v>
      </c>
    </row>
    <row r="225" spans="1:24" x14ac:dyDescent="0.3">
      <c r="A225" s="6">
        <v>36</v>
      </c>
      <c r="B225" s="11">
        <v>44231</v>
      </c>
      <c r="C225" t="s">
        <v>31</v>
      </c>
      <c r="D225" t="s">
        <v>37</v>
      </c>
      <c r="E225" s="6">
        <v>89459845</v>
      </c>
      <c r="F225" s="6">
        <v>196484</v>
      </c>
      <c r="G225" s="16">
        <v>41269.599999999999</v>
      </c>
      <c r="H225" s="6">
        <v>3599</v>
      </c>
      <c r="I225" s="6">
        <v>55</v>
      </c>
      <c r="J225" s="6">
        <v>9</v>
      </c>
      <c r="K225" s="16">
        <v>68589</v>
      </c>
      <c r="L225" s="8">
        <v>0.66197394692461287</v>
      </c>
      <c r="M225" s="9">
        <v>1.8317013090124391E-2</v>
      </c>
      <c r="N225" s="9">
        <v>1.5282022784106701E-2</v>
      </c>
      <c r="O225" s="9">
        <v>0.16363636363636361</v>
      </c>
      <c r="P225" s="7">
        <v>7621</v>
      </c>
      <c r="Q225" s="7">
        <v>11.46696304529036</v>
      </c>
      <c r="R225" s="7">
        <v>750.35636363636365</v>
      </c>
      <c r="S225" s="7">
        <v>4585.5111111111109</v>
      </c>
      <c r="T225" s="16">
        <v>27319.4</v>
      </c>
      <c r="U225" t="s">
        <v>23</v>
      </c>
      <c r="V225" t="s">
        <v>38</v>
      </c>
      <c r="W225" t="s">
        <v>39</v>
      </c>
      <c r="X225" t="b">
        <f t="shared" si="3"/>
        <v>1</v>
      </c>
    </row>
    <row r="226" spans="1:24" x14ac:dyDescent="0.3">
      <c r="A226" s="6">
        <v>37</v>
      </c>
      <c r="B226" s="11">
        <v>44231</v>
      </c>
      <c r="C226" t="s">
        <v>31</v>
      </c>
      <c r="D226" t="s">
        <v>37</v>
      </c>
      <c r="E226" s="6">
        <v>127823</v>
      </c>
      <c r="F226" s="6">
        <v>1531679</v>
      </c>
      <c r="G226" s="16">
        <v>60108.800000000003</v>
      </c>
      <c r="H226" s="6">
        <v>9591</v>
      </c>
      <c r="I226" s="6">
        <v>234</v>
      </c>
      <c r="J226" s="6">
        <v>17</v>
      </c>
      <c r="K226" s="16">
        <v>58990</v>
      </c>
      <c r="L226" s="8">
        <v>-1.8612915247018792E-2</v>
      </c>
      <c r="M226" s="9">
        <v>6.2617558901049107E-3</v>
      </c>
      <c r="N226" s="9">
        <v>2.4397873005943069E-2</v>
      </c>
      <c r="O226" s="9">
        <v>7.2649572649572655E-2</v>
      </c>
      <c r="P226" s="7">
        <v>3470</v>
      </c>
      <c r="Q226" s="7">
        <v>6.267208841622355</v>
      </c>
      <c r="R226" s="7">
        <v>256.87521367521367</v>
      </c>
      <c r="S226" s="7">
        <v>3535.811764705883</v>
      </c>
      <c r="T226" s="16">
        <v>-1118.8000000000029</v>
      </c>
      <c r="U226" t="s">
        <v>23</v>
      </c>
      <c r="V226" t="s">
        <v>38</v>
      </c>
      <c r="W226" t="s">
        <v>40</v>
      </c>
      <c r="X226" t="b">
        <f t="shared" si="3"/>
        <v>1</v>
      </c>
    </row>
    <row r="227" spans="1:24" x14ac:dyDescent="0.3">
      <c r="A227" s="6">
        <v>38</v>
      </c>
      <c r="B227" s="11">
        <v>44231</v>
      </c>
      <c r="C227" t="s">
        <v>31</v>
      </c>
      <c r="D227" t="s">
        <v>41</v>
      </c>
      <c r="E227" s="6">
        <v>10934</v>
      </c>
      <c r="F227" s="6">
        <v>2120555</v>
      </c>
      <c r="G227" s="16">
        <v>185263</v>
      </c>
      <c r="H227" s="6">
        <v>17993</v>
      </c>
      <c r="I227" s="6">
        <v>445</v>
      </c>
      <c r="J227" s="6">
        <v>89</v>
      </c>
      <c r="K227" s="16">
        <v>624958</v>
      </c>
      <c r="L227" s="8">
        <v>2.3733557159281671</v>
      </c>
      <c r="M227" s="9">
        <v>8.4850428307683603E-3</v>
      </c>
      <c r="N227" s="9">
        <v>2.473184016006225E-2</v>
      </c>
      <c r="O227" s="9">
        <v>0.2</v>
      </c>
      <c r="P227" s="7">
        <v>7022</v>
      </c>
      <c r="Q227" s="7">
        <v>10.296393041738449</v>
      </c>
      <c r="R227" s="7">
        <v>416.32134831460672</v>
      </c>
      <c r="S227" s="7">
        <v>2081.606741573034</v>
      </c>
      <c r="T227" s="16">
        <v>439695</v>
      </c>
      <c r="U227" t="s">
        <v>23</v>
      </c>
      <c r="V227" t="s">
        <v>42</v>
      </c>
      <c r="W227" t="s">
        <v>43</v>
      </c>
      <c r="X227" t="b">
        <f t="shared" si="3"/>
        <v>1</v>
      </c>
    </row>
    <row r="228" spans="1:24" x14ac:dyDescent="0.3">
      <c r="A228" s="6">
        <v>43</v>
      </c>
      <c r="B228" s="11">
        <v>44231</v>
      </c>
      <c r="C228" t="s">
        <v>31</v>
      </c>
      <c r="D228" t="s">
        <v>41</v>
      </c>
      <c r="E228" s="6">
        <v>374754</v>
      </c>
      <c r="F228" s="6">
        <v>1199300</v>
      </c>
      <c r="G228" s="16">
        <v>149279</v>
      </c>
      <c r="H228" s="6">
        <v>11993</v>
      </c>
      <c r="I228" s="6">
        <v>267</v>
      </c>
      <c r="J228" s="6">
        <v>38</v>
      </c>
      <c r="K228" s="16">
        <v>224542</v>
      </c>
      <c r="L228" s="8">
        <v>0.50417674287743086</v>
      </c>
      <c r="M228" s="9">
        <v>0.01</v>
      </c>
      <c r="N228" s="9">
        <v>2.226298674226632E-2</v>
      </c>
      <c r="O228" s="9">
        <v>0.14232209737827711</v>
      </c>
      <c r="P228" s="7">
        <v>5909</v>
      </c>
      <c r="Q228" s="7">
        <v>12.44717752022013</v>
      </c>
      <c r="R228" s="7">
        <v>559.09737827715355</v>
      </c>
      <c r="S228" s="7">
        <v>3928.394736842105</v>
      </c>
      <c r="T228" s="16">
        <v>75263</v>
      </c>
      <c r="U228" t="s">
        <v>23</v>
      </c>
      <c r="V228" t="s">
        <v>36</v>
      </c>
      <c r="W228" t="s">
        <v>43</v>
      </c>
      <c r="X228" t="b">
        <f t="shared" si="3"/>
        <v>1</v>
      </c>
    </row>
    <row r="229" spans="1:24" x14ac:dyDescent="0.3">
      <c r="A229" s="6">
        <v>44</v>
      </c>
      <c r="B229" s="11">
        <v>44231</v>
      </c>
      <c r="C229" t="s">
        <v>31</v>
      </c>
      <c r="D229" t="s">
        <v>44</v>
      </c>
      <c r="E229" s="6">
        <v>39889</v>
      </c>
      <c r="F229" s="6">
        <v>41924802</v>
      </c>
      <c r="G229" s="16">
        <v>177746</v>
      </c>
      <c r="H229" s="6">
        <v>16806</v>
      </c>
      <c r="I229" s="6">
        <v>336</v>
      </c>
      <c r="J229" s="6">
        <v>60</v>
      </c>
      <c r="K229" s="16">
        <v>204540</v>
      </c>
      <c r="L229" s="8">
        <v>0.15074319534616809</v>
      </c>
      <c r="M229" s="9">
        <v>4.0086056935939731E-4</v>
      </c>
      <c r="N229" s="9">
        <v>1.99928596929668E-2</v>
      </c>
      <c r="O229" s="9">
        <v>0.1785714285714286</v>
      </c>
      <c r="P229" s="7">
        <v>3409</v>
      </c>
      <c r="Q229" s="7">
        <v>10.576341782696661</v>
      </c>
      <c r="R229" s="7">
        <v>529.00595238095241</v>
      </c>
      <c r="S229" s="7">
        <v>2962.4333333333329</v>
      </c>
      <c r="T229" s="16">
        <v>26794</v>
      </c>
      <c r="U229" t="s">
        <v>23</v>
      </c>
      <c r="V229" t="s">
        <v>45</v>
      </c>
      <c r="W229" t="s">
        <v>46</v>
      </c>
      <c r="X229" t="b">
        <f t="shared" si="3"/>
        <v>1</v>
      </c>
    </row>
    <row r="230" spans="1:24" x14ac:dyDescent="0.3">
      <c r="A230" s="6">
        <v>47</v>
      </c>
      <c r="B230" s="11">
        <v>44232</v>
      </c>
      <c r="C230" t="s">
        <v>32</v>
      </c>
      <c r="D230" t="s">
        <v>37</v>
      </c>
      <c r="E230" s="6">
        <v>89459845</v>
      </c>
      <c r="F230" s="6">
        <v>236719</v>
      </c>
      <c r="G230" s="16">
        <v>96930.6</v>
      </c>
      <c r="H230" s="6">
        <v>4504</v>
      </c>
      <c r="I230" s="6">
        <v>151</v>
      </c>
      <c r="J230" s="6">
        <v>23</v>
      </c>
      <c r="K230" s="16">
        <v>177882</v>
      </c>
      <c r="L230" s="8">
        <v>0.83514803374785662</v>
      </c>
      <c r="M230" s="9">
        <v>1.902677858558037E-2</v>
      </c>
      <c r="N230" s="9">
        <v>3.3525754884547072E-2</v>
      </c>
      <c r="O230" s="9">
        <v>0.15231788079470199</v>
      </c>
      <c r="P230" s="7">
        <v>7734</v>
      </c>
      <c r="Q230" s="7">
        <v>21.521003552397872</v>
      </c>
      <c r="R230" s="7">
        <v>641.92450331125826</v>
      </c>
      <c r="S230" s="7">
        <v>4214.3739130434788</v>
      </c>
      <c r="T230" s="16">
        <v>80951.399999999994</v>
      </c>
      <c r="U230" t="s">
        <v>23</v>
      </c>
      <c r="V230" t="s">
        <v>38</v>
      </c>
      <c r="W230" t="s">
        <v>39</v>
      </c>
      <c r="X230" t="b">
        <f t="shared" si="3"/>
        <v>1</v>
      </c>
    </row>
    <row r="231" spans="1:24" x14ac:dyDescent="0.3">
      <c r="A231" s="6">
        <v>48</v>
      </c>
      <c r="B231" s="11">
        <v>44232</v>
      </c>
      <c r="C231" t="s">
        <v>32</v>
      </c>
      <c r="D231" t="s">
        <v>37</v>
      </c>
      <c r="E231" s="6">
        <v>127823</v>
      </c>
      <c r="F231" s="6">
        <v>9914040</v>
      </c>
      <c r="G231" s="16">
        <v>56875.199999999997</v>
      </c>
      <c r="H231" s="6">
        <v>11993</v>
      </c>
      <c r="I231" s="6">
        <v>139</v>
      </c>
      <c r="J231" s="6">
        <v>14</v>
      </c>
      <c r="K231" s="16">
        <v>49644</v>
      </c>
      <c r="L231" s="8">
        <v>-0.12714153093088021</v>
      </c>
      <c r="M231" s="9">
        <v>1.209698568898249E-3</v>
      </c>
      <c r="N231" s="9">
        <v>1.159009422162928E-2</v>
      </c>
      <c r="O231" s="9">
        <v>0.10071942446043169</v>
      </c>
      <c r="P231" s="7">
        <v>3546</v>
      </c>
      <c r="Q231" s="7">
        <v>4.7423663803885594</v>
      </c>
      <c r="R231" s="7">
        <v>409.17410071942442</v>
      </c>
      <c r="S231" s="7">
        <v>4062.514285714286</v>
      </c>
      <c r="T231" s="16">
        <v>-7231.1999999999971</v>
      </c>
      <c r="U231" t="s">
        <v>23</v>
      </c>
      <c r="V231" t="s">
        <v>38</v>
      </c>
      <c r="W231" t="s">
        <v>40</v>
      </c>
      <c r="X231" t="b">
        <f t="shared" si="3"/>
        <v>1</v>
      </c>
    </row>
    <row r="232" spans="1:24" x14ac:dyDescent="0.3">
      <c r="A232" s="6">
        <v>49</v>
      </c>
      <c r="B232" s="11">
        <v>44232</v>
      </c>
      <c r="C232" t="s">
        <v>32</v>
      </c>
      <c r="D232" t="s">
        <v>41</v>
      </c>
      <c r="E232" s="6">
        <v>10934</v>
      </c>
      <c r="F232" s="6">
        <v>1965108</v>
      </c>
      <c r="G232" s="16">
        <v>442617</v>
      </c>
      <c r="H232" s="6">
        <v>22507</v>
      </c>
      <c r="I232" s="6">
        <v>731</v>
      </c>
      <c r="J232" s="6">
        <v>146</v>
      </c>
      <c r="K232" s="16">
        <v>1165230</v>
      </c>
      <c r="L232" s="8">
        <v>1.632592060404368</v>
      </c>
      <c r="M232" s="9">
        <v>1.1453314525206759E-2</v>
      </c>
      <c r="N232" s="9">
        <v>3.2478784378193452E-2</v>
      </c>
      <c r="O232" s="9">
        <v>0.19972640218878249</v>
      </c>
      <c r="P232" s="7">
        <v>7981.0273972602736</v>
      </c>
      <c r="Q232" s="7">
        <v>19.665748433820589</v>
      </c>
      <c r="R232" s="7">
        <v>605.49521203830375</v>
      </c>
      <c r="S232" s="7">
        <v>3031.6232876712329</v>
      </c>
      <c r="T232" s="16">
        <v>722613</v>
      </c>
      <c r="U232" t="s">
        <v>23</v>
      </c>
      <c r="V232" t="s">
        <v>42</v>
      </c>
      <c r="W232" t="s">
        <v>43</v>
      </c>
      <c r="X232" t="b">
        <f t="shared" si="3"/>
        <v>1</v>
      </c>
    </row>
    <row r="233" spans="1:24" x14ac:dyDescent="0.3">
      <c r="A233" s="6">
        <v>54</v>
      </c>
      <c r="B233" s="11">
        <v>44232</v>
      </c>
      <c r="C233" t="s">
        <v>32</v>
      </c>
      <c r="D233" t="s">
        <v>41</v>
      </c>
      <c r="E233" s="6">
        <v>374754</v>
      </c>
      <c r="F233" s="6">
        <v>2153303</v>
      </c>
      <c r="G233" s="16">
        <v>36431.699999999997</v>
      </c>
      <c r="H233" s="6">
        <v>15003</v>
      </c>
      <c r="I233" s="6">
        <v>51</v>
      </c>
      <c r="J233" s="6">
        <v>8</v>
      </c>
      <c r="K233" s="16">
        <v>47816</v>
      </c>
      <c r="L233" s="8">
        <v>0.31248335927228221</v>
      </c>
      <c r="M233" s="9">
        <v>6.967435609387067E-3</v>
      </c>
      <c r="N233" s="9">
        <v>3.399320135972805E-3</v>
      </c>
      <c r="O233" s="9">
        <v>0.15686274509803921</v>
      </c>
      <c r="P233" s="7">
        <v>5977</v>
      </c>
      <c r="Q233" s="7">
        <v>2.4282943411317741</v>
      </c>
      <c r="R233" s="7">
        <v>714.34705882352932</v>
      </c>
      <c r="S233" s="7">
        <v>4553.9624999999996</v>
      </c>
      <c r="T233" s="16">
        <v>11384.3</v>
      </c>
      <c r="U233" t="s">
        <v>23</v>
      </c>
      <c r="V233" t="s">
        <v>36</v>
      </c>
      <c r="W233" t="s">
        <v>43</v>
      </c>
      <c r="X233" t="b">
        <f t="shared" si="3"/>
        <v>1</v>
      </c>
    </row>
    <row r="234" spans="1:24" x14ac:dyDescent="0.3">
      <c r="A234" s="6">
        <v>55</v>
      </c>
      <c r="B234" s="11">
        <v>44232</v>
      </c>
      <c r="C234" t="s">
        <v>32</v>
      </c>
      <c r="D234" t="s">
        <v>44</v>
      </c>
      <c r="E234" s="6">
        <v>39889</v>
      </c>
      <c r="F234" s="6">
        <v>8238872</v>
      </c>
      <c r="G234" s="16">
        <v>427922</v>
      </c>
      <c r="H234" s="6">
        <v>20997</v>
      </c>
      <c r="I234" s="6">
        <v>796</v>
      </c>
      <c r="J234" s="6">
        <v>119</v>
      </c>
      <c r="K234" s="16">
        <v>471240</v>
      </c>
      <c r="L234" s="8">
        <v>0.101228728600072</v>
      </c>
      <c r="M234" s="9">
        <v>2.5485284878803802E-3</v>
      </c>
      <c r="N234" s="9">
        <v>3.7910177644425391E-2</v>
      </c>
      <c r="O234" s="9">
        <v>0.14949748743718591</v>
      </c>
      <c r="P234" s="7">
        <v>3960</v>
      </c>
      <c r="Q234" s="7">
        <v>20.380149545173118</v>
      </c>
      <c r="R234" s="7">
        <v>537.5904522613065</v>
      </c>
      <c r="S234" s="7">
        <v>3595.9831932773109</v>
      </c>
      <c r="T234" s="16">
        <v>43318</v>
      </c>
      <c r="U234" t="s">
        <v>23</v>
      </c>
      <c r="V234" t="s">
        <v>45</v>
      </c>
      <c r="W234" t="s">
        <v>46</v>
      </c>
      <c r="X234" t="b">
        <f t="shared" si="3"/>
        <v>1</v>
      </c>
    </row>
    <row r="235" spans="1:24" x14ac:dyDescent="0.3">
      <c r="A235" s="6">
        <v>80</v>
      </c>
      <c r="B235" s="11">
        <v>44235</v>
      </c>
      <c r="C235" t="s">
        <v>21</v>
      </c>
      <c r="D235" t="s">
        <v>37</v>
      </c>
      <c r="E235" s="6">
        <v>89459845</v>
      </c>
      <c r="F235" s="6">
        <v>51350</v>
      </c>
      <c r="G235" s="16">
        <v>6918.85</v>
      </c>
      <c r="H235" s="6">
        <v>904</v>
      </c>
      <c r="I235" s="6">
        <v>20</v>
      </c>
      <c r="J235" s="6">
        <v>2</v>
      </c>
      <c r="K235" s="16">
        <v>16240</v>
      </c>
      <c r="L235" s="8">
        <v>1.3472108804208791</v>
      </c>
      <c r="M235" s="9">
        <v>1.760467380720545E-2</v>
      </c>
      <c r="N235" s="9">
        <v>2.2123893805309731E-2</v>
      </c>
      <c r="O235" s="9">
        <v>0.1</v>
      </c>
      <c r="P235" s="7">
        <v>8120</v>
      </c>
      <c r="Q235" s="7">
        <v>7.6535951327433631</v>
      </c>
      <c r="R235" s="7">
        <v>345.9425</v>
      </c>
      <c r="S235" s="7">
        <v>3459.4250000000002</v>
      </c>
      <c r="T235" s="16">
        <v>9321.15</v>
      </c>
      <c r="U235" t="s">
        <v>23</v>
      </c>
      <c r="V235" t="s">
        <v>38</v>
      </c>
      <c r="W235" t="s">
        <v>39</v>
      </c>
      <c r="X235" t="b">
        <f t="shared" si="3"/>
        <v>1</v>
      </c>
    </row>
    <row r="236" spans="1:24" x14ac:dyDescent="0.3">
      <c r="A236" s="6">
        <v>81</v>
      </c>
      <c r="B236" s="11">
        <v>44235</v>
      </c>
      <c r="C236" t="s">
        <v>21</v>
      </c>
      <c r="D236" t="s">
        <v>37</v>
      </c>
      <c r="E236" s="6">
        <v>127823</v>
      </c>
      <c r="F236" s="6">
        <v>478000</v>
      </c>
      <c r="G236" s="16">
        <v>16567.5</v>
      </c>
      <c r="H236" s="6">
        <v>2390</v>
      </c>
      <c r="I236" s="6">
        <v>48</v>
      </c>
      <c r="J236" s="6">
        <v>5</v>
      </c>
      <c r="K236" s="16">
        <v>16995</v>
      </c>
      <c r="L236" s="8">
        <v>2.580353100950656E-2</v>
      </c>
      <c r="M236" s="9">
        <v>5.0000000000000001E-3</v>
      </c>
      <c r="N236" s="9">
        <v>2.0083682008368201E-2</v>
      </c>
      <c r="O236" s="9">
        <v>0.1041666666666667</v>
      </c>
      <c r="P236" s="7">
        <v>3399</v>
      </c>
      <c r="Q236" s="7">
        <v>6.9320083682008367</v>
      </c>
      <c r="R236" s="7">
        <v>345.15625</v>
      </c>
      <c r="S236" s="7">
        <v>3313.5</v>
      </c>
      <c r="T236" s="16">
        <v>427.5</v>
      </c>
      <c r="U236" t="s">
        <v>23</v>
      </c>
      <c r="V236" t="s">
        <v>38</v>
      </c>
      <c r="W236" t="s">
        <v>40</v>
      </c>
      <c r="X236" t="b">
        <f t="shared" si="3"/>
        <v>1</v>
      </c>
    </row>
    <row r="237" spans="1:24" x14ac:dyDescent="0.3">
      <c r="A237" s="6">
        <v>82</v>
      </c>
      <c r="B237" s="11">
        <v>44235</v>
      </c>
      <c r="C237" t="s">
        <v>21</v>
      </c>
      <c r="D237" t="s">
        <v>41</v>
      </c>
      <c r="E237" s="6">
        <v>10934</v>
      </c>
      <c r="F237" s="6">
        <v>685530</v>
      </c>
      <c r="G237" s="16">
        <v>33892.6</v>
      </c>
      <c r="H237" s="6">
        <v>4491</v>
      </c>
      <c r="I237" s="6">
        <v>79</v>
      </c>
      <c r="J237" s="6">
        <v>16</v>
      </c>
      <c r="K237" s="16">
        <v>120176</v>
      </c>
      <c r="L237" s="8">
        <v>2.545788756247676</v>
      </c>
      <c r="M237" s="9">
        <v>6.5511356176972558E-3</v>
      </c>
      <c r="N237" s="9">
        <v>1.7590737029614782E-2</v>
      </c>
      <c r="O237" s="9">
        <v>0.20253164556962031</v>
      </c>
      <c r="P237" s="7">
        <v>7511</v>
      </c>
      <c r="Q237" s="7">
        <v>7.5467824537964816</v>
      </c>
      <c r="R237" s="7">
        <v>429.02025316455689</v>
      </c>
      <c r="S237" s="7">
        <v>2118.2874999999999</v>
      </c>
      <c r="T237" s="16">
        <v>86283.4</v>
      </c>
      <c r="U237" t="s">
        <v>23</v>
      </c>
      <c r="V237" t="s">
        <v>42</v>
      </c>
      <c r="W237" t="s">
        <v>43</v>
      </c>
      <c r="X237" t="b">
        <f t="shared" si="3"/>
        <v>1</v>
      </c>
    </row>
    <row r="238" spans="1:24" x14ac:dyDescent="0.3">
      <c r="A238" s="6">
        <v>87</v>
      </c>
      <c r="B238" s="11">
        <v>44235</v>
      </c>
      <c r="C238" t="s">
        <v>21</v>
      </c>
      <c r="D238" t="s">
        <v>41</v>
      </c>
      <c r="E238" s="6">
        <v>374754</v>
      </c>
      <c r="F238" s="6">
        <v>361650</v>
      </c>
      <c r="G238" s="16">
        <v>31154.3</v>
      </c>
      <c r="H238" s="6">
        <v>2991</v>
      </c>
      <c r="I238" s="6">
        <v>60</v>
      </c>
      <c r="J238" s="6">
        <v>9</v>
      </c>
      <c r="K238" s="16">
        <v>45027</v>
      </c>
      <c r="L238" s="8">
        <v>0.44529005626831608</v>
      </c>
      <c r="M238" s="9">
        <v>8.2704272086271263E-3</v>
      </c>
      <c r="N238" s="9">
        <v>2.006018054162487E-2</v>
      </c>
      <c r="O238" s="9">
        <v>0.15</v>
      </c>
      <c r="P238" s="7">
        <v>5003</v>
      </c>
      <c r="Q238" s="7">
        <v>10.416014710799059</v>
      </c>
      <c r="R238" s="7">
        <v>519.23833333333334</v>
      </c>
      <c r="S238" s="7">
        <v>3461.588888888889</v>
      </c>
      <c r="T238" s="16">
        <v>13872.7</v>
      </c>
      <c r="U238" t="s">
        <v>23</v>
      </c>
      <c r="V238" t="s">
        <v>36</v>
      </c>
      <c r="W238" t="s">
        <v>43</v>
      </c>
      <c r="X238" t="b">
        <f t="shared" si="3"/>
        <v>1</v>
      </c>
    </row>
    <row r="239" spans="1:24" x14ac:dyDescent="0.3">
      <c r="A239" s="6">
        <v>88</v>
      </c>
      <c r="B239" s="11">
        <v>44235</v>
      </c>
      <c r="C239" t="s">
        <v>21</v>
      </c>
      <c r="D239" t="s">
        <v>44</v>
      </c>
      <c r="E239" s="6">
        <v>39889</v>
      </c>
      <c r="F239" s="6">
        <v>2233790</v>
      </c>
      <c r="G239" s="16">
        <v>31883.9</v>
      </c>
      <c r="H239" s="6">
        <v>4197</v>
      </c>
      <c r="I239" s="6">
        <v>84</v>
      </c>
      <c r="J239" s="6">
        <v>10</v>
      </c>
      <c r="K239" s="16">
        <v>42280</v>
      </c>
      <c r="L239" s="8">
        <v>0.32606111548461758</v>
      </c>
      <c r="M239" s="9">
        <v>1.8788695445856589E-3</v>
      </c>
      <c r="N239" s="9">
        <v>2.0014295925661191E-2</v>
      </c>
      <c r="O239" s="9">
        <v>0.119047619047619</v>
      </c>
      <c r="P239" s="7">
        <v>4228</v>
      </c>
      <c r="Q239" s="7">
        <v>7.5968310698117696</v>
      </c>
      <c r="R239" s="7">
        <v>379.5702380952381</v>
      </c>
      <c r="S239" s="7">
        <v>3188.39</v>
      </c>
      <c r="T239" s="16">
        <v>10396.1</v>
      </c>
      <c r="U239" t="s">
        <v>23</v>
      </c>
      <c r="V239" t="s">
        <v>45</v>
      </c>
      <c r="W239" t="s">
        <v>46</v>
      </c>
      <c r="X239" t="b">
        <f t="shared" si="3"/>
        <v>1</v>
      </c>
    </row>
    <row r="240" spans="1:24" x14ac:dyDescent="0.3">
      <c r="A240" s="6">
        <v>91</v>
      </c>
      <c r="B240" s="11">
        <v>44236</v>
      </c>
      <c r="C240" t="s">
        <v>29</v>
      </c>
      <c r="D240" t="s">
        <v>37</v>
      </c>
      <c r="E240" s="6">
        <v>89459845</v>
      </c>
      <c r="F240" s="6">
        <v>44900</v>
      </c>
      <c r="G240" s="16">
        <v>3095.21</v>
      </c>
      <c r="H240" s="6">
        <v>898</v>
      </c>
      <c r="I240" s="6">
        <v>5</v>
      </c>
      <c r="J240" s="6">
        <v>1</v>
      </c>
      <c r="K240" s="16">
        <v>7998</v>
      </c>
      <c r="L240" s="8">
        <v>1.5839926854720681</v>
      </c>
      <c r="M240" s="9">
        <v>0.02</v>
      </c>
      <c r="N240" s="9">
        <v>5.5679287305122494E-3</v>
      </c>
      <c r="O240" s="9">
        <v>0.2</v>
      </c>
      <c r="P240" s="7">
        <v>7998</v>
      </c>
      <c r="Q240" s="7">
        <v>3.4467817371937639</v>
      </c>
      <c r="R240" s="7">
        <v>619.04200000000003</v>
      </c>
      <c r="S240" s="7">
        <v>3095.21</v>
      </c>
      <c r="T240" s="16">
        <v>4902.79</v>
      </c>
      <c r="U240" t="s">
        <v>23</v>
      </c>
      <c r="V240" t="s">
        <v>38</v>
      </c>
      <c r="W240" t="s">
        <v>39</v>
      </c>
      <c r="X240" t="b">
        <f t="shared" si="3"/>
        <v>1</v>
      </c>
    </row>
    <row r="241" spans="1:24" x14ac:dyDescent="0.3">
      <c r="A241" s="6">
        <v>92</v>
      </c>
      <c r="B241" s="11">
        <v>44236</v>
      </c>
      <c r="C241" t="s">
        <v>29</v>
      </c>
      <c r="D241" t="s">
        <v>37</v>
      </c>
      <c r="E241" s="6">
        <v>127823</v>
      </c>
      <c r="F241" s="6">
        <v>478600</v>
      </c>
      <c r="G241" s="16">
        <v>20299.3</v>
      </c>
      <c r="H241" s="6">
        <v>2393</v>
      </c>
      <c r="I241" s="6">
        <v>48</v>
      </c>
      <c r="J241" s="6">
        <v>5</v>
      </c>
      <c r="K241" s="16">
        <v>14905</v>
      </c>
      <c r="L241" s="8">
        <v>-0.2657382274265615</v>
      </c>
      <c r="M241" s="9">
        <v>5.0000000000000001E-3</v>
      </c>
      <c r="N241" s="9">
        <v>2.0058503969912239E-2</v>
      </c>
      <c r="O241" s="9">
        <v>0.1041666666666667</v>
      </c>
      <c r="P241" s="7">
        <v>2981</v>
      </c>
      <c r="Q241" s="7">
        <v>8.482783117425825</v>
      </c>
      <c r="R241" s="7">
        <v>422.90208333333328</v>
      </c>
      <c r="S241" s="7">
        <v>4059.86</v>
      </c>
      <c r="T241" s="16">
        <v>-5394.2999999999993</v>
      </c>
      <c r="U241" t="s">
        <v>23</v>
      </c>
      <c r="V241" t="s">
        <v>38</v>
      </c>
      <c r="W241" t="s">
        <v>40</v>
      </c>
      <c r="X241" t="b">
        <f t="shared" si="3"/>
        <v>1</v>
      </c>
    </row>
    <row r="242" spans="1:24" x14ac:dyDescent="0.3">
      <c r="A242" s="6">
        <v>93</v>
      </c>
      <c r="B242" s="11">
        <v>44236</v>
      </c>
      <c r="C242" t="s">
        <v>29</v>
      </c>
      <c r="D242" t="s">
        <v>41</v>
      </c>
      <c r="E242" s="6">
        <v>10934</v>
      </c>
      <c r="F242" s="6">
        <v>491821</v>
      </c>
      <c r="G242" s="16">
        <v>27833</v>
      </c>
      <c r="H242" s="6">
        <v>4495</v>
      </c>
      <c r="I242" s="6">
        <v>90</v>
      </c>
      <c r="J242" s="6">
        <v>18</v>
      </c>
      <c r="K242" s="16">
        <v>143658</v>
      </c>
      <c r="L242" s="8">
        <v>4.1614270829590776</v>
      </c>
      <c r="M242" s="9">
        <v>9.1395040065389652E-3</v>
      </c>
      <c r="N242" s="9">
        <v>2.002224694104561E-2</v>
      </c>
      <c r="O242" s="9">
        <v>0.2</v>
      </c>
      <c r="P242" s="7">
        <v>7981</v>
      </c>
      <c r="Q242" s="7">
        <v>6.1919911012235813</v>
      </c>
      <c r="R242" s="7">
        <v>309.25555555555547</v>
      </c>
      <c r="S242" s="7">
        <v>1546.2777777777781</v>
      </c>
      <c r="T242" s="16">
        <v>115825</v>
      </c>
      <c r="U242" t="s">
        <v>23</v>
      </c>
      <c r="V242" t="s">
        <v>42</v>
      </c>
      <c r="W242" t="s">
        <v>43</v>
      </c>
      <c r="X242" t="b">
        <f t="shared" si="3"/>
        <v>1</v>
      </c>
    </row>
    <row r="243" spans="1:24" x14ac:dyDescent="0.3">
      <c r="A243" s="6">
        <v>98</v>
      </c>
      <c r="B243" s="11">
        <v>44236</v>
      </c>
      <c r="C243" t="s">
        <v>29</v>
      </c>
      <c r="D243" t="s">
        <v>41</v>
      </c>
      <c r="E243" s="6">
        <v>374754</v>
      </c>
      <c r="F243" s="6">
        <v>346068</v>
      </c>
      <c r="G243" s="16">
        <v>57642.400000000001</v>
      </c>
      <c r="H243" s="6">
        <v>3006</v>
      </c>
      <c r="I243" s="6">
        <v>99</v>
      </c>
      <c r="J243" s="6">
        <v>15</v>
      </c>
      <c r="K243" s="16">
        <v>89460</v>
      </c>
      <c r="L243" s="8">
        <v>0.55198256838715942</v>
      </c>
      <c r="M243" s="9">
        <v>8.6861541662332266E-3</v>
      </c>
      <c r="N243" s="9">
        <v>3.2934131736526949E-2</v>
      </c>
      <c r="O243" s="9">
        <v>0.15151515151515149</v>
      </c>
      <c r="P243" s="7">
        <v>5964</v>
      </c>
      <c r="Q243" s="7">
        <v>19.175781769793751</v>
      </c>
      <c r="R243" s="7">
        <v>582.24646464646469</v>
      </c>
      <c r="S243" s="7">
        <v>3842.8266666666668</v>
      </c>
      <c r="T243" s="16">
        <v>31817.599999999999</v>
      </c>
      <c r="U243" t="s">
        <v>23</v>
      </c>
      <c r="V243" t="s">
        <v>36</v>
      </c>
      <c r="W243" t="s">
        <v>43</v>
      </c>
      <c r="X243" t="b">
        <f t="shared" si="3"/>
        <v>1</v>
      </c>
    </row>
    <row r="244" spans="1:24" x14ac:dyDescent="0.3">
      <c r="A244" s="6">
        <v>99</v>
      </c>
      <c r="B244" s="11">
        <v>44236</v>
      </c>
      <c r="C244" t="s">
        <v>29</v>
      </c>
      <c r="D244" t="s">
        <v>44</v>
      </c>
      <c r="E244" s="6">
        <v>39889</v>
      </c>
      <c r="F244" s="6">
        <v>3736884</v>
      </c>
      <c r="G244" s="16">
        <v>44731.7</v>
      </c>
      <c r="H244" s="6">
        <v>4190</v>
      </c>
      <c r="I244" s="6">
        <v>84</v>
      </c>
      <c r="J244" s="6">
        <v>13</v>
      </c>
      <c r="K244" s="16">
        <v>51259</v>
      </c>
      <c r="L244" s="8">
        <v>0.14592112528698889</v>
      </c>
      <c r="M244" s="9">
        <v>1.121255034943552E-3</v>
      </c>
      <c r="N244" s="9">
        <v>2.0047732696897379E-2</v>
      </c>
      <c r="O244" s="9">
        <v>0.15476190476190479</v>
      </c>
      <c r="P244" s="7">
        <v>3943</v>
      </c>
      <c r="Q244" s="7">
        <v>10.675823389021479</v>
      </c>
      <c r="R244" s="7">
        <v>532.52023809523803</v>
      </c>
      <c r="S244" s="7">
        <v>3440.9</v>
      </c>
      <c r="T244" s="16">
        <v>6527.3000000000029</v>
      </c>
      <c r="U244" t="s">
        <v>23</v>
      </c>
      <c r="V244" t="s">
        <v>45</v>
      </c>
      <c r="W244" t="s">
        <v>46</v>
      </c>
      <c r="X244" t="b">
        <f t="shared" si="3"/>
        <v>1</v>
      </c>
    </row>
    <row r="245" spans="1:24" x14ac:dyDescent="0.3">
      <c r="A245" s="6">
        <v>102</v>
      </c>
      <c r="B245" s="11">
        <v>44237</v>
      </c>
      <c r="C245" t="s">
        <v>30</v>
      </c>
      <c r="D245" t="s">
        <v>37</v>
      </c>
      <c r="E245" s="6">
        <v>89459845</v>
      </c>
      <c r="F245" s="6">
        <v>108748</v>
      </c>
      <c r="G245" s="16">
        <v>51883.1</v>
      </c>
      <c r="H245" s="6">
        <v>1797</v>
      </c>
      <c r="I245" s="6">
        <v>57</v>
      </c>
      <c r="J245" s="6">
        <v>11</v>
      </c>
      <c r="K245" s="16">
        <v>86724</v>
      </c>
      <c r="L245" s="8">
        <v>0.67152695193617962</v>
      </c>
      <c r="M245" s="9">
        <v>1.6524441828815239E-2</v>
      </c>
      <c r="N245" s="9">
        <v>3.1719532554257093E-2</v>
      </c>
      <c r="O245" s="9">
        <v>0.19298245614035089</v>
      </c>
      <c r="P245" s="7">
        <v>7884</v>
      </c>
      <c r="Q245" s="7">
        <v>28.872064552031159</v>
      </c>
      <c r="R245" s="7">
        <v>910.22982456140346</v>
      </c>
      <c r="S245" s="7">
        <v>4716.6454545454544</v>
      </c>
      <c r="T245" s="16">
        <v>34840.9</v>
      </c>
      <c r="U245" t="s">
        <v>23</v>
      </c>
      <c r="V245" t="s">
        <v>38</v>
      </c>
      <c r="W245" t="s">
        <v>39</v>
      </c>
      <c r="X245" t="b">
        <f t="shared" si="3"/>
        <v>1</v>
      </c>
    </row>
    <row r="246" spans="1:24" x14ac:dyDescent="0.3">
      <c r="A246" s="6">
        <v>103</v>
      </c>
      <c r="B246" s="11">
        <v>44237</v>
      </c>
      <c r="C246" t="s">
        <v>30</v>
      </c>
      <c r="D246" t="s">
        <v>37</v>
      </c>
      <c r="E246" s="6">
        <v>127823</v>
      </c>
      <c r="F246" s="6">
        <v>797238</v>
      </c>
      <c r="G246" s="16">
        <v>67577.8</v>
      </c>
      <c r="H246" s="6">
        <v>4797</v>
      </c>
      <c r="I246" s="6">
        <v>154</v>
      </c>
      <c r="J246" s="6">
        <v>19</v>
      </c>
      <c r="K246" s="16">
        <v>42598</v>
      </c>
      <c r="L246" s="8">
        <v>-0.36964506095196947</v>
      </c>
      <c r="M246" s="9">
        <v>6.0170237745817432E-3</v>
      </c>
      <c r="N246" s="9">
        <v>3.2103397957056502E-2</v>
      </c>
      <c r="O246" s="9">
        <v>0.1233766233766234</v>
      </c>
      <c r="P246" s="7">
        <v>2242</v>
      </c>
      <c r="Q246" s="7">
        <v>14.08751302897644</v>
      </c>
      <c r="R246" s="7">
        <v>438.81688311688322</v>
      </c>
      <c r="S246" s="7">
        <v>3556.726315789474</v>
      </c>
      <c r="T246" s="16">
        <v>-24979.8</v>
      </c>
      <c r="U246" t="s">
        <v>23</v>
      </c>
      <c r="V246" t="s">
        <v>38</v>
      </c>
      <c r="W246" t="s">
        <v>40</v>
      </c>
      <c r="X246" t="b">
        <f t="shared" si="3"/>
        <v>1</v>
      </c>
    </row>
    <row r="247" spans="1:24" x14ac:dyDescent="0.3">
      <c r="A247" s="6">
        <v>104</v>
      </c>
      <c r="B247" s="11">
        <v>44237</v>
      </c>
      <c r="C247" t="s">
        <v>30</v>
      </c>
      <c r="D247" t="s">
        <v>41</v>
      </c>
      <c r="E247" s="6">
        <v>10934</v>
      </c>
      <c r="F247" s="6">
        <v>1469962</v>
      </c>
      <c r="G247" s="16">
        <v>19831.400000000001</v>
      </c>
      <c r="H247" s="6">
        <v>8998</v>
      </c>
      <c r="I247" s="6">
        <v>80</v>
      </c>
      <c r="J247" s="6">
        <v>16</v>
      </c>
      <c r="K247" s="16">
        <v>130768</v>
      </c>
      <c r="L247" s="8">
        <v>5.593987313049003</v>
      </c>
      <c r="M247" s="9">
        <v>6.121246671682669E-3</v>
      </c>
      <c r="N247" s="9">
        <v>8.8908646365859073E-3</v>
      </c>
      <c r="O247" s="9">
        <v>0.2</v>
      </c>
      <c r="P247" s="7">
        <v>8173</v>
      </c>
      <c r="Q247" s="7">
        <v>2.203978661924872</v>
      </c>
      <c r="R247" s="7">
        <v>247.89250000000001</v>
      </c>
      <c r="S247" s="7">
        <v>1239.4625000000001</v>
      </c>
      <c r="T247" s="16">
        <v>110936.6</v>
      </c>
      <c r="U247" t="s">
        <v>23</v>
      </c>
      <c r="V247" t="s">
        <v>42</v>
      </c>
      <c r="W247" t="s">
        <v>43</v>
      </c>
      <c r="X247" t="b">
        <f t="shared" si="3"/>
        <v>1</v>
      </c>
    </row>
    <row r="248" spans="1:24" x14ac:dyDescent="0.3">
      <c r="A248" s="6">
        <v>109</v>
      </c>
      <c r="B248" s="11">
        <v>44237</v>
      </c>
      <c r="C248" t="s">
        <v>30</v>
      </c>
      <c r="D248" t="s">
        <v>41</v>
      </c>
      <c r="E248" s="6">
        <v>374754</v>
      </c>
      <c r="F248" s="6">
        <v>489728</v>
      </c>
      <c r="G248" s="16">
        <v>126901</v>
      </c>
      <c r="H248" s="6">
        <v>6005</v>
      </c>
      <c r="I248" s="6">
        <v>187</v>
      </c>
      <c r="J248" s="6">
        <v>34</v>
      </c>
      <c r="K248" s="16">
        <v>143888</v>
      </c>
      <c r="L248" s="8">
        <v>0.13386025326829579</v>
      </c>
      <c r="M248" s="9">
        <v>1.2261908651332981E-2</v>
      </c>
      <c r="N248" s="9">
        <v>3.1140716069941711E-2</v>
      </c>
      <c r="O248" s="9">
        <v>0.1818181818181818</v>
      </c>
      <c r="P248" s="7">
        <v>4232</v>
      </c>
      <c r="Q248" s="7">
        <v>21.132556203164029</v>
      </c>
      <c r="R248" s="7">
        <v>678.61497326203209</v>
      </c>
      <c r="S248" s="7">
        <v>3732.382352941177</v>
      </c>
      <c r="T248" s="16">
        <v>16987</v>
      </c>
      <c r="U248" t="s">
        <v>23</v>
      </c>
      <c r="V248" t="s">
        <v>36</v>
      </c>
      <c r="W248" t="s">
        <v>43</v>
      </c>
      <c r="X248" t="b">
        <f t="shared" si="3"/>
        <v>1</v>
      </c>
    </row>
    <row r="249" spans="1:24" x14ac:dyDescent="0.3">
      <c r="A249" s="6">
        <v>110</v>
      </c>
      <c r="B249" s="11">
        <v>44237</v>
      </c>
      <c r="C249" t="s">
        <v>30</v>
      </c>
      <c r="D249" t="s">
        <v>44</v>
      </c>
      <c r="E249" s="6">
        <v>39889</v>
      </c>
      <c r="F249" s="6">
        <v>5219501</v>
      </c>
      <c r="G249" s="16">
        <v>179519</v>
      </c>
      <c r="H249" s="6">
        <v>8391</v>
      </c>
      <c r="I249" s="6">
        <v>302</v>
      </c>
      <c r="J249" s="6">
        <v>60</v>
      </c>
      <c r="K249" s="16">
        <v>196680</v>
      </c>
      <c r="L249" s="8">
        <v>9.5594338203755597E-2</v>
      </c>
      <c r="M249" s="9">
        <v>1.607624943457239E-3</v>
      </c>
      <c r="N249" s="9">
        <v>3.5990942676677393E-2</v>
      </c>
      <c r="O249" s="9">
        <v>0.19867549668874171</v>
      </c>
      <c r="P249" s="7">
        <v>3278</v>
      </c>
      <c r="Q249" s="7">
        <v>21.394231915147181</v>
      </c>
      <c r="R249" s="7">
        <v>594.43377483443703</v>
      </c>
      <c r="S249" s="7">
        <v>2991.9833333333331</v>
      </c>
      <c r="T249" s="16">
        <v>17161</v>
      </c>
      <c r="U249" t="s">
        <v>23</v>
      </c>
      <c r="V249" t="s">
        <v>45</v>
      </c>
      <c r="W249" t="s">
        <v>46</v>
      </c>
      <c r="X249" t="b">
        <f t="shared" si="3"/>
        <v>1</v>
      </c>
    </row>
    <row r="250" spans="1:24" x14ac:dyDescent="0.3">
      <c r="A250" s="6">
        <v>113</v>
      </c>
      <c r="B250" s="11">
        <v>44238</v>
      </c>
      <c r="C250" t="s">
        <v>31</v>
      </c>
      <c r="D250" t="s">
        <v>37</v>
      </c>
      <c r="E250" s="6">
        <v>89459845</v>
      </c>
      <c r="F250" s="6">
        <v>134600</v>
      </c>
      <c r="G250" s="16">
        <v>26220.400000000001</v>
      </c>
      <c r="H250" s="6">
        <v>2692</v>
      </c>
      <c r="I250" s="6">
        <v>54</v>
      </c>
      <c r="J250" s="6">
        <v>6</v>
      </c>
      <c r="K250" s="16">
        <v>48990</v>
      </c>
      <c r="L250" s="8">
        <v>0.86839254931274878</v>
      </c>
      <c r="M250" s="9">
        <v>0.02</v>
      </c>
      <c r="N250" s="9">
        <v>2.005943536404161E-2</v>
      </c>
      <c r="O250" s="9">
        <v>0.1111111111111111</v>
      </c>
      <c r="P250" s="7">
        <v>8165</v>
      </c>
      <c r="Q250" s="7">
        <v>9.7401188707280841</v>
      </c>
      <c r="R250" s="7">
        <v>485.56296296296301</v>
      </c>
      <c r="S250" s="7">
        <v>4370.0666666666666</v>
      </c>
      <c r="T250" s="16">
        <v>22769.599999999999</v>
      </c>
      <c r="U250" t="s">
        <v>23</v>
      </c>
      <c r="V250" t="s">
        <v>38</v>
      </c>
      <c r="W250" t="s">
        <v>39</v>
      </c>
      <c r="X250" t="b">
        <f t="shared" si="3"/>
        <v>1</v>
      </c>
    </row>
    <row r="251" spans="1:24" x14ac:dyDescent="0.3">
      <c r="A251" s="6">
        <v>114</v>
      </c>
      <c r="B251" s="11">
        <v>44238</v>
      </c>
      <c r="C251" t="s">
        <v>31</v>
      </c>
      <c r="D251" t="s">
        <v>37</v>
      </c>
      <c r="E251" s="6">
        <v>127823</v>
      </c>
      <c r="F251" s="6">
        <v>1254537</v>
      </c>
      <c r="G251" s="16">
        <v>51422.5</v>
      </c>
      <c r="H251" s="6">
        <v>7198</v>
      </c>
      <c r="I251" s="6">
        <v>144</v>
      </c>
      <c r="J251" s="6">
        <v>14</v>
      </c>
      <c r="K251" s="16">
        <v>41986</v>
      </c>
      <c r="L251" s="8">
        <v>-0.1835091642763382</v>
      </c>
      <c r="M251" s="9">
        <v>5.7375748981496758E-3</v>
      </c>
      <c r="N251" s="9">
        <v>2.0005557099194219E-2</v>
      </c>
      <c r="O251" s="9">
        <v>9.7222222222222224E-2</v>
      </c>
      <c r="P251" s="7">
        <v>2999</v>
      </c>
      <c r="Q251" s="7">
        <v>7.1439983328702414</v>
      </c>
      <c r="R251" s="7">
        <v>357.10069444444451</v>
      </c>
      <c r="S251" s="7">
        <v>3673.0357142857142</v>
      </c>
      <c r="T251" s="16">
        <v>-9436.5</v>
      </c>
      <c r="U251" t="s">
        <v>23</v>
      </c>
      <c r="V251" t="s">
        <v>38</v>
      </c>
      <c r="W251" t="s">
        <v>40</v>
      </c>
      <c r="X251" t="b">
        <f t="shared" si="3"/>
        <v>1</v>
      </c>
    </row>
    <row r="252" spans="1:24" x14ac:dyDescent="0.3">
      <c r="A252" s="6">
        <v>115</v>
      </c>
      <c r="B252" s="11">
        <v>44238</v>
      </c>
      <c r="C252" t="s">
        <v>31</v>
      </c>
      <c r="D252" t="s">
        <v>41</v>
      </c>
      <c r="E252" s="6">
        <v>10934</v>
      </c>
      <c r="F252" s="6">
        <v>1210466</v>
      </c>
      <c r="G252" s="16">
        <v>197161</v>
      </c>
      <c r="H252" s="6">
        <v>13506</v>
      </c>
      <c r="I252" s="6">
        <v>474</v>
      </c>
      <c r="J252" s="6">
        <v>95</v>
      </c>
      <c r="K252" s="16">
        <v>831820</v>
      </c>
      <c r="L252" s="8">
        <v>3.2189885423587832</v>
      </c>
      <c r="M252" s="9">
        <v>1.1157686378634339E-2</v>
      </c>
      <c r="N252" s="9">
        <v>3.5095513105286538E-2</v>
      </c>
      <c r="O252" s="9">
        <v>0.20042194092827001</v>
      </c>
      <c r="P252" s="7">
        <v>8756</v>
      </c>
      <c r="Q252" s="7">
        <v>14.598030504960761</v>
      </c>
      <c r="R252" s="7">
        <v>415.95147679324901</v>
      </c>
      <c r="S252" s="7">
        <v>2075.378947368421</v>
      </c>
      <c r="T252" s="16">
        <v>634659</v>
      </c>
      <c r="U252" t="s">
        <v>23</v>
      </c>
      <c r="V252" t="s">
        <v>42</v>
      </c>
      <c r="W252" t="s">
        <v>43</v>
      </c>
      <c r="X252" t="b">
        <f t="shared" si="3"/>
        <v>1</v>
      </c>
    </row>
    <row r="253" spans="1:24" x14ac:dyDescent="0.3">
      <c r="A253" s="6">
        <v>120</v>
      </c>
      <c r="B253" s="11">
        <v>44238</v>
      </c>
      <c r="C253" t="s">
        <v>31</v>
      </c>
      <c r="D253" t="s">
        <v>41</v>
      </c>
      <c r="E253" s="6">
        <v>374754</v>
      </c>
      <c r="F253" s="6">
        <v>900400</v>
      </c>
      <c r="G253" s="16">
        <v>128751</v>
      </c>
      <c r="H253" s="6">
        <v>9004</v>
      </c>
      <c r="I253" s="6">
        <v>227</v>
      </c>
      <c r="J253" s="6">
        <v>29</v>
      </c>
      <c r="K253" s="16">
        <v>143869</v>
      </c>
      <c r="L253" s="8">
        <v>0.1174204472198274</v>
      </c>
      <c r="M253" s="9">
        <v>0.01</v>
      </c>
      <c r="N253" s="9">
        <v>2.5211017325633051E-2</v>
      </c>
      <c r="O253" s="9">
        <v>0.1277533039647577</v>
      </c>
      <c r="P253" s="7">
        <v>4961</v>
      </c>
      <c r="Q253" s="7">
        <v>14.29931141714793</v>
      </c>
      <c r="R253" s="7">
        <v>567.18502202643174</v>
      </c>
      <c r="S253" s="7">
        <v>4439.6896551724139</v>
      </c>
      <c r="T253" s="16">
        <v>15118</v>
      </c>
      <c r="U253" t="s">
        <v>23</v>
      </c>
      <c r="V253" t="s">
        <v>36</v>
      </c>
      <c r="W253" t="s">
        <v>43</v>
      </c>
      <c r="X253" t="b">
        <f t="shared" si="3"/>
        <v>1</v>
      </c>
    </row>
    <row r="254" spans="1:24" x14ac:dyDescent="0.3">
      <c r="A254" s="6">
        <v>121</v>
      </c>
      <c r="B254" s="11">
        <v>44238</v>
      </c>
      <c r="C254" t="s">
        <v>31</v>
      </c>
      <c r="D254" t="s">
        <v>44</v>
      </c>
      <c r="E254" s="6">
        <v>39889</v>
      </c>
      <c r="F254" s="6">
        <v>5125187</v>
      </c>
      <c r="G254" s="16">
        <v>193124</v>
      </c>
      <c r="H254" s="6">
        <v>12602</v>
      </c>
      <c r="I254" s="6">
        <v>482</v>
      </c>
      <c r="J254" s="6">
        <v>57</v>
      </c>
      <c r="K254" s="16">
        <v>226917</v>
      </c>
      <c r="L254" s="8">
        <v>0.1749808413247447</v>
      </c>
      <c r="M254" s="9">
        <v>2.4588371116995339E-3</v>
      </c>
      <c r="N254" s="9">
        <v>3.8247897159181081E-2</v>
      </c>
      <c r="O254" s="9">
        <v>0.11825726141078841</v>
      </c>
      <c r="P254" s="7">
        <v>3981</v>
      </c>
      <c r="Q254" s="7">
        <v>15.32486906840184</v>
      </c>
      <c r="R254" s="7">
        <v>400.67219917012449</v>
      </c>
      <c r="S254" s="7">
        <v>3388.1403508771932</v>
      </c>
      <c r="T254" s="16">
        <v>33793</v>
      </c>
      <c r="U254" t="s">
        <v>23</v>
      </c>
      <c r="V254" t="s">
        <v>45</v>
      </c>
      <c r="W254" t="s">
        <v>46</v>
      </c>
      <c r="X254" t="b">
        <f t="shared" si="3"/>
        <v>1</v>
      </c>
    </row>
    <row r="255" spans="1:24" x14ac:dyDescent="0.3">
      <c r="A255" s="6">
        <v>124</v>
      </c>
      <c r="B255" s="11">
        <v>44239</v>
      </c>
      <c r="C255" t="s">
        <v>32</v>
      </c>
      <c r="D255" t="s">
        <v>37</v>
      </c>
      <c r="E255" s="6">
        <v>89459845</v>
      </c>
      <c r="F255" s="6">
        <v>161493</v>
      </c>
      <c r="G255" s="16">
        <v>59745.3</v>
      </c>
      <c r="H255" s="6">
        <v>3602</v>
      </c>
      <c r="I255" s="6">
        <v>72</v>
      </c>
      <c r="J255" s="6">
        <v>14</v>
      </c>
      <c r="K255" s="16">
        <v>122710</v>
      </c>
      <c r="L255" s="8">
        <v>1.0538854102331059</v>
      </c>
      <c r="M255" s="9">
        <v>2.230437232573548E-2</v>
      </c>
      <c r="N255" s="9">
        <v>1.998889505830094E-2</v>
      </c>
      <c r="O255" s="9">
        <v>0.19444444444444439</v>
      </c>
      <c r="P255" s="7">
        <v>8765</v>
      </c>
      <c r="Q255" s="7">
        <v>16.586701832315381</v>
      </c>
      <c r="R255" s="7">
        <v>829.79583333333335</v>
      </c>
      <c r="S255" s="7">
        <v>4267.5214285714292</v>
      </c>
      <c r="T255" s="16">
        <v>62964.7</v>
      </c>
      <c r="U255" t="s">
        <v>23</v>
      </c>
      <c r="V255" t="s">
        <v>38</v>
      </c>
      <c r="W255" t="s">
        <v>39</v>
      </c>
      <c r="X255" t="b">
        <f t="shared" si="3"/>
        <v>1</v>
      </c>
    </row>
    <row r="256" spans="1:24" x14ac:dyDescent="0.3">
      <c r="A256" s="6">
        <v>125</v>
      </c>
      <c r="B256" s="11">
        <v>44239</v>
      </c>
      <c r="C256" t="s">
        <v>32</v>
      </c>
      <c r="D256" t="s">
        <v>37</v>
      </c>
      <c r="E256" s="6">
        <v>127823</v>
      </c>
      <c r="F256" s="6">
        <v>1502383</v>
      </c>
      <c r="G256" s="16">
        <v>86733.1</v>
      </c>
      <c r="H256" s="6">
        <v>9605</v>
      </c>
      <c r="I256" s="6">
        <v>192</v>
      </c>
      <c r="J256" s="6">
        <v>19</v>
      </c>
      <c r="K256" s="16">
        <v>56639</v>
      </c>
      <c r="L256" s="8">
        <v>-0.34697364673924952</v>
      </c>
      <c r="M256" s="9">
        <v>6.3931767066054404E-3</v>
      </c>
      <c r="N256" s="9">
        <v>1.9989588755856321E-2</v>
      </c>
      <c r="O256" s="9">
        <v>9.8958333333333329E-2</v>
      </c>
      <c r="P256" s="7">
        <v>2981</v>
      </c>
      <c r="Q256" s="7">
        <v>9.0299947943779291</v>
      </c>
      <c r="R256" s="7">
        <v>451.73489583333338</v>
      </c>
      <c r="S256" s="7">
        <v>4564.9000000000005</v>
      </c>
      <c r="T256" s="16">
        <v>-30094.100000000009</v>
      </c>
      <c r="U256" t="s">
        <v>23</v>
      </c>
      <c r="V256" t="s">
        <v>38</v>
      </c>
      <c r="W256" t="s">
        <v>40</v>
      </c>
      <c r="X256" t="b">
        <f t="shared" si="3"/>
        <v>1</v>
      </c>
    </row>
    <row r="257" spans="1:24" x14ac:dyDescent="0.3">
      <c r="A257" s="6">
        <v>126</v>
      </c>
      <c r="B257" s="11">
        <v>44239</v>
      </c>
      <c r="C257" t="s">
        <v>32</v>
      </c>
      <c r="D257" t="s">
        <v>41</v>
      </c>
      <c r="E257" s="6">
        <v>10934</v>
      </c>
      <c r="F257" s="6">
        <v>1299708</v>
      </c>
      <c r="G257" s="16">
        <v>121652</v>
      </c>
      <c r="H257" s="6">
        <v>17994</v>
      </c>
      <c r="I257" s="6">
        <v>378</v>
      </c>
      <c r="J257" s="6">
        <v>61</v>
      </c>
      <c r="K257" s="16">
        <v>486841</v>
      </c>
      <c r="L257" s="8">
        <v>3.0019152993785552</v>
      </c>
      <c r="M257" s="9">
        <v>1.3844648182514839E-2</v>
      </c>
      <c r="N257" s="9">
        <v>2.1007002334111371E-2</v>
      </c>
      <c r="O257" s="9">
        <v>0.16137566137566139</v>
      </c>
      <c r="P257" s="7">
        <v>7981</v>
      </c>
      <c r="Q257" s="7">
        <v>6.7606980104479284</v>
      </c>
      <c r="R257" s="7">
        <v>321.83068783068791</v>
      </c>
      <c r="S257" s="7">
        <v>1994.295081967213</v>
      </c>
      <c r="T257" s="16">
        <v>365189</v>
      </c>
      <c r="U257" t="s">
        <v>23</v>
      </c>
      <c r="V257" t="s">
        <v>42</v>
      </c>
      <c r="W257" t="s">
        <v>43</v>
      </c>
      <c r="X257" t="b">
        <f t="shared" ref="X257:X309" si="4">NOT(AND(G257=0,K257&gt;1000000))</f>
        <v>1</v>
      </c>
    </row>
    <row r="258" spans="1:24" x14ac:dyDescent="0.3">
      <c r="A258" s="6">
        <v>131</v>
      </c>
      <c r="B258" s="11">
        <v>44239</v>
      </c>
      <c r="C258" t="s">
        <v>32</v>
      </c>
      <c r="D258" t="s">
        <v>41</v>
      </c>
      <c r="E258" s="6">
        <v>374754</v>
      </c>
      <c r="F258" s="6">
        <v>1200300</v>
      </c>
      <c r="G258" s="16">
        <v>308572</v>
      </c>
      <c r="H258" s="6">
        <v>12003</v>
      </c>
      <c r="I258" s="6">
        <v>412</v>
      </c>
      <c r="J258" s="6">
        <v>79</v>
      </c>
      <c r="K258" s="16">
        <v>393499</v>
      </c>
      <c r="L258" s="8">
        <v>0.27522587921133479</v>
      </c>
      <c r="M258" s="9">
        <v>0.01</v>
      </c>
      <c r="N258" s="9">
        <v>3.4324752145297011E-2</v>
      </c>
      <c r="O258" s="9">
        <v>0.19174757281553401</v>
      </c>
      <c r="P258" s="7">
        <v>4981</v>
      </c>
      <c r="Q258" s="7">
        <v>25.70790635674415</v>
      </c>
      <c r="R258" s="7">
        <v>748.96116504854365</v>
      </c>
      <c r="S258" s="7">
        <v>3905.9746835443038</v>
      </c>
      <c r="T258" s="16">
        <v>84927</v>
      </c>
      <c r="U258" t="s">
        <v>23</v>
      </c>
      <c r="V258" t="s">
        <v>36</v>
      </c>
      <c r="W258" t="s">
        <v>43</v>
      </c>
      <c r="X258" t="b">
        <f t="shared" si="4"/>
        <v>1</v>
      </c>
    </row>
    <row r="259" spans="1:24" x14ac:dyDescent="0.3">
      <c r="A259" s="6">
        <v>132</v>
      </c>
      <c r="B259" s="11">
        <v>44239</v>
      </c>
      <c r="C259" t="s">
        <v>32</v>
      </c>
      <c r="D259" t="s">
        <v>44</v>
      </c>
      <c r="E259" s="6">
        <v>39889</v>
      </c>
      <c r="F259" s="6">
        <v>10819771</v>
      </c>
      <c r="G259" s="16">
        <v>145201</v>
      </c>
      <c r="H259" s="6">
        <v>16808</v>
      </c>
      <c r="I259" s="6">
        <v>336</v>
      </c>
      <c r="J259" s="6">
        <v>49</v>
      </c>
      <c r="K259" s="16">
        <v>195069</v>
      </c>
      <c r="L259" s="8">
        <v>0.3434411608735477</v>
      </c>
      <c r="M259" s="9">
        <v>1.55345247140628E-3</v>
      </c>
      <c r="N259" s="9">
        <v>1.9990480723465019E-2</v>
      </c>
      <c r="O259" s="9">
        <v>0.14583333333333329</v>
      </c>
      <c r="P259" s="7">
        <v>3981</v>
      </c>
      <c r="Q259" s="7">
        <v>8.6388029509757267</v>
      </c>
      <c r="R259" s="7">
        <v>432.14583333333331</v>
      </c>
      <c r="S259" s="7">
        <v>2963.2857142857142</v>
      </c>
      <c r="T259" s="16">
        <v>49868</v>
      </c>
      <c r="U259" t="s">
        <v>23</v>
      </c>
      <c r="V259" t="s">
        <v>45</v>
      </c>
      <c r="W259" t="s">
        <v>46</v>
      </c>
      <c r="X259" t="b">
        <f t="shared" si="4"/>
        <v>1</v>
      </c>
    </row>
    <row r="260" spans="1:24" x14ac:dyDescent="0.3">
      <c r="A260" s="6">
        <v>157</v>
      </c>
      <c r="B260" s="11">
        <v>44242</v>
      </c>
      <c r="C260" t="s">
        <v>21</v>
      </c>
      <c r="D260" t="s">
        <v>37</v>
      </c>
      <c r="E260" s="6">
        <v>89459845</v>
      </c>
      <c r="F260" s="6">
        <v>315350</v>
      </c>
      <c r="G260" s="16">
        <v>82930.7</v>
      </c>
      <c r="H260" s="6">
        <v>6307</v>
      </c>
      <c r="I260" s="6">
        <v>126</v>
      </c>
      <c r="J260" s="6">
        <v>19</v>
      </c>
      <c r="K260" s="16">
        <v>138073</v>
      </c>
      <c r="L260" s="8">
        <v>0.66492022857638977</v>
      </c>
      <c r="M260" s="9">
        <v>0.02</v>
      </c>
      <c r="N260" s="9">
        <v>1.9977802441731411E-2</v>
      </c>
      <c r="O260" s="9">
        <v>0.15079365079365081</v>
      </c>
      <c r="P260" s="7">
        <v>7267</v>
      </c>
      <c r="Q260" s="7">
        <v>13.148993182178531</v>
      </c>
      <c r="R260" s="7">
        <v>658.18015873015872</v>
      </c>
      <c r="S260" s="7">
        <v>4364.773684210526</v>
      </c>
      <c r="T260" s="16">
        <v>55142.3</v>
      </c>
      <c r="U260" t="s">
        <v>23</v>
      </c>
      <c r="V260" t="s">
        <v>38</v>
      </c>
      <c r="W260" t="s">
        <v>39</v>
      </c>
      <c r="X260" t="b">
        <f t="shared" si="4"/>
        <v>1</v>
      </c>
    </row>
    <row r="261" spans="1:24" x14ac:dyDescent="0.3">
      <c r="A261" s="6">
        <v>158</v>
      </c>
      <c r="B261" s="11">
        <v>44242</v>
      </c>
      <c r="C261" t="s">
        <v>21</v>
      </c>
      <c r="D261" t="s">
        <v>37</v>
      </c>
      <c r="E261" s="6">
        <v>127823</v>
      </c>
      <c r="F261" s="6">
        <v>3359600</v>
      </c>
      <c r="G261" s="16">
        <v>124854</v>
      </c>
      <c r="H261" s="6">
        <v>16798</v>
      </c>
      <c r="I261" s="6">
        <v>336</v>
      </c>
      <c r="J261" s="6">
        <v>31</v>
      </c>
      <c r="K261" s="16">
        <v>92411</v>
      </c>
      <c r="L261" s="8">
        <v>-0.25984750188219841</v>
      </c>
      <c r="M261" s="9">
        <v>5.0000000000000001E-3</v>
      </c>
      <c r="N261" s="9">
        <v>2.000238123586141E-2</v>
      </c>
      <c r="O261" s="9">
        <v>9.2261904761904767E-2</v>
      </c>
      <c r="P261" s="7">
        <v>2981</v>
      </c>
      <c r="Q261" s="7">
        <v>7.4326705560185733</v>
      </c>
      <c r="R261" s="7">
        <v>371.58928571428572</v>
      </c>
      <c r="S261" s="7">
        <v>4027.5483870967741</v>
      </c>
      <c r="T261" s="16">
        <v>-32443</v>
      </c>
      <c r="U261" t="s">
        <v>23</v>
      </c>
      <c r="V261" t="s">
        <v>38</v>
      </c>
      <c r="W261" t="s">
        <v>40</v>
      </c>
      <c r="X261" t="b">
        <f t="shared" si="4"/>
        <v>1</v>
      </c>
    </row>
    <row r="262" spans="1:24" x14ac:dyDescent="0.3">
      <c r="A262" s="6">
        <v>159</v>
      </c>
      <c r="B262" s="11">
        <v>44242</v>
      </c>
      <c r="C262" t="s">
        <v>21</v>
      </c>
      <c r="D262" t="s">
        <v>41</v>
      </c>
      <c r="E262" s="6">
        <v>10934</v>
      </c>
      <c r="F262" s="6">
        <v>2478877</v>
      </c>
      <c r="G262" s="16">
        <v>151480</v>
      </c>
      <c r="H262" s="6">
        <v>31504</v>
      </c>
      <c r="I262" s="6">
        <v>630</v>
      </c>
      <c r="J262" s="6">
        <v>98</v>
      </c>
      <c r="K262" s="16">
        <v>782138</v>
      </c>
      <c r="L262" s="8">
        <v>4.163308687615527</v>
      </c>
      <c r="M262" s="9">
        <v>1.270898071989857E-2</v>
      </c>
      <c r="N262" s="9">
        <v>1.9997460639918741E-2</v>
      </c>
      <c r="O262" s="9">
        <v>0.15555555555555561</v>
      </c>
      <c r="P262" s="7">
        <v>7981</v>
      </c>
      <c r="Q262" s="7">
        <v>4.8082783138649061</v>
      </c>
      <c r="R262" s="7">
        <v>240.44444444444451</v>
      </c>
      <c r="S262" s="7">
        <v>1545.714285714286</v>
      </c>
      <c r="T262" s="16">
        <v>630658</v>
      </c>
      <c r="U262" t="s">
        <v>23</v>
      </c>
      <c r="V262" t="s">
        <v>42</v>
      </c>
      <c r="W262" t="s">
        <v>43</v>
      </c>
      <c r="X262" t="b">
        <f t="shared" si="4"/>
        <v>1</v>
      </c>
    </row>
    <row r="263" spans="1:24" x14ac:dyDescent="0.3">
      <c r="A263" s="6">
        <v>164</v>
      </c>
      <c r="B263" s="11">
        <v>44242</v>
      </c>
      <c r="C263" t="s">
        <v>21</v>
      </c>
      <c r="D263" t="s">
        <v>41</v>
      </c>
      <c r="E263" s="6">
        <v>374754</v>
      </c>
      <c r="F263" s="6">
        <v>2100700</v>
      </c>
      <c r="G263" s="16">
        <v>82452</v>
      </c>
      <c r="H263" s="6">
        <v>21007</v>
      </c>
      <c r="I263" s="6">
        <v>122</v>
      </c>
      <c r="J263" s="6">
        <v>24</v>
      </c>
      <c r="K263" s="16">
        <v>103392</v>
      </c>
      <c r="L263" s="8">
        <v>0.25396594382186</v>
      </c>
      <c r="M263" s="9">
        <v>0.01</v>
      </c>
      <c r="N263" s="9">
        <v>5.8075879468748506E-3</v>
      </c>
      <c r="O263" s="9">
        <v>0.1967213114754098</v>
      </c>
      <c r="P263" s="7">
        <v>4308</v>
      </c>
      <c r="Q263" s="7">
        <v>3.9249773884895509</v>
      </c>
      <c r="R263" s="7">
        <v>675.8360655737705</v>
      </c>
      <c r="S263" s="7">
        <v>3435.5</v>
      </c>
      <c r="T263" s="16">
        <v>20940</v>
      </c>
      <c r="U263" t="s">
        <v>23</v>
      </c>
      <c r="V263" t="s">
        <v>36</v>
      </c>
      <c r="W263" t="s">
        <v>43</v>
      </c>
      <c r="X263" t="b">
        <f t="shared" si="4"/>
        <v>1</v>
      </c>
    </row>
    <row r="264" spans="1:24" x14ac:dyDescent="0.3">
      <c r="A264" s="6">
        <v>165</v>
      </c>
      <c r="B264" s="11">
        <v>44242</v>
      </c>
      <c r="C264" t="s">
        <v>21</v>
      </c>
      <c r="D264" t="s">
        <v>44</v>
      </c>
      <c r="E264" s="6">
        <v>39889</v>
      </c>
      <c r="F264" s="6">
        <v>8747458</v>
      </c>
      <c r="G264" s="16">
        <v>543275</v>
      </c>
      <c r="H264" s="6">
        <v>29390</v>
      </c>
      <c r="I264" s="6">
        <v>1061</v>
      </c>
      <c r="J264" s="6">
        <v>171</v>
      </c>
      <c r="K264" s="16">
        <v>809685</v>
      </c>
      <c r="L264" s="8">
        <v>0.49037780129768532</v>
      </c>
      <c r="M264" s="9">
        <v>3.3598332224058689E-3</v>
      </c>
      <c r="N264" s="9">
        <v>3.6100714528751278E-2</v>
      </c>
      <c r="O264" s="9">
        <v>0.16116870876531569</v>
      </c>
      <c r="P264" s="7">
        <v>4735</v>
      </c>
      <c r="Q264" s="7">
        <v>18.485028921401842</v>
      </c>
      <c r="R264" s="7">
        <v>512.04052780395853</v>
      </c>
      <c r="S264" s="7">
        <v>3177.0467836257312</v>
      </c>
      <c r="T264" s="16">
        <v>266410</v>
      </c>
      <c r="U264" t="s">
        <v>23</v>
      </c>
      <c r="V264" t="s">
        <v>45</v>
      </c>
      <c r="W264" t="s">
        <v>46</v>
      </c>
      <c r="X264" t="b">
        <f t="shared" si="4"/>
        <v>1</v>
      </c>
    </row>
    <row r="265" spans="1:24" x14ac:dyDescent="0.3">
      <c r="A265" s="6">
        <v>168</v>
      </c>
      <c r="B265" s="11">
        <v>44243</v>
      </c>
      <c r="C265" t="s">
        <v>29</v>
      </c>
      <c r="D265" t="s">
        <v>37</v>
      </c>
      <c r="E265" s="6">
        <v>89459845</v>
      </c>
      <c r="F265" s="6">
        <v>373184</v>
      </c>
      <c r="G265" s="16">
        <v>102053</v>
      </c>
      <c r="H265" s="6">
        <v>7198</v>
      </c>
      <c r="I265" s="6">
        <v>144</v>
      </c>
      <c r="J265" s="6">
        <v>22</v>
      </c>
      <c r="K265" s="16">
        <v>185482</v>
      </c>
      <c r="L265" s="8">
        <v>0.81750658971318824</v>
      </c>
      <c r="M265" s="9">
        <v>1.928807237180586E-2</v>
      </c>
      <c r="N265" s="9">
        <v>2.0005557099194219E-2</v>
      </c>
      <c r="O265" s="9">
        <v>0.15277777777777779</v>
      </c>
      <c r="P265" s="7">
        <v>8431</v>
      </c>
      <c r="Q265" s="7">
        <v>14.177966101694921</v>
      </c>
      <c r="R265" s="7">
        <v>708.70138888888891</v>
      </c>
      <c r="S265" s="7">
        <v>4638.772727272727</v>
      </c>
      <c r="T265" s="16">
        <v>83429</v>
      </c>
      <c r="U265" t="s">
        <v>23</v>
      </c>
      <c r="V265" t="s">
        <v>38</v>
      </c>
      <c r="W265" t="s">
        <v>39</v>
      </c>
      <c r="X265" t="b">
        <f t="shared" si="4"/>
        <v>1</v>
      </c>
    </row>
    <row r="266" spans="1:24" x14ac:dyDescent="0.3">
      <c r="A266" s="6">
        <v>169</v>
      </c>
      <c r="B266" s="11">
        <v>44243</v>
      </c>
      <c r="C266" t="s">
        <v>29</v>
      </c>
      <c r="D266" t="s">
        <v>37</v>
      </c>
      <c r="E266" s="6">
        <v>127823</v>
      </c>
      <c r="F266" s="6">
        <v>3841400</v>
      </c>
      <c r="G266" s="16">
        <v>271906</v>
      </c>
      <c r="H266" s="6">
        <v>19207</v>
      </c>
      <c r="I266" s="6">
        <v>666</v>
      </c>
      <c r="J266" s="6">
        <v>67</v>
      </c>
      <c r="K266" s="16">
        <v>199727</v>
      </c>
      <c r="L266" s="8">
        <v>-0.26545570895824289</v>
      </c>
      <c r="M266" s="9">
        <v>5.0000000000000001E-3</v>
      </c>
      <c r="N266" s="9">
        <v>3.4674858124642063E-2</v>
      </c>
      <c r="O266" s="9">
        <v>0.1006006006006006</v>
      </c>
      <c r="P266" s="7">
        <v>2981</v>
      </c>
      <c r="Q266" s="7">
        <v>14.156609569427809</v>
      </c>
      <c r="R266" s="7">
        <v>408.26726726726719</v>
      </c>
      <c r="S266" s="7">
        <v>4058.2985074626872</v>
      </c>
      <c r="T266" s="16">
        <v>-72179</v>
      </c>
      <c r="U266" t="s">
        <v>23</v>
      </c>
      <c r="V266" t="s">
        <v>38</v>
      </c>
      <c r="W266" t="s">
        <v>40</v>
      </c>
      <c r="X266" t="b">
        <f t="shared" si="4"/>
        <v>1</v>
      </c>
    </row>
    <row r="267" spans="1:24" x14ac:dyDescent="0.3">
      <c r="A267" s="6">
        <v>170</v>
      </c>
      <c r="B267" s="11">
        <v>44243</v>
      </c>
      <c r="C267" t="s">
        <v>29</v>
      </c>
      <c r="D267" t="s">
        <v>41</v>
      </c>
      <c r="E267" s="6">
        <v>10934</v>
      </c>
      <c r="F267" s="6">
        <v>4371118</v>
      </c>
      <c r="G267" s="16">
        <v>221258</v>
      </c>
      <c r="H267" s="6">
        <v>35999</v>
      </c>
      <c r="I267" s="6">
        <v>720</v>
      </c>
      <c r="J267" s="6">
        <v>128</v>
      </c>
      <c r="K267" s="16">
        <v>1021570</v>
      </c>
      <c r="L267" s="8">
        <v>3.6170985907854178</v>
      </c>
      <c r="M267" s="9">
        <v>8.2356504674547786E-3</v>
      </c>
      <c r="N267" s="9">
        <v>2.0000555570988079E-2</v>
      </c>
      <c r="O267" s="9">
        <v>0.17777777777777781</v>
      </c>
      <c r="P267" s="7">
        <v>7981.015625</v>
      </c>
      <c r="Q267" s="7">
        <v>6.1462262840634461</v>
      </c>
      <c r="R267" s="7">
        <v>307.30277777777781</v>
      </c>
      <c r="S267" s="7">
        <v>1728.578125</v>
      </c>
      <c r="T267" s="16">
        <v>800312</v>
      </c>
      <c r="U267" t="s">
        <v>23</v>
      </c>
      <c r="V267" t="s">
        <v>42</v>
      </c>
      <c r="W267" t="s">
        <v>43</v>
      </c>
      <c r="X267" t="b">
        <f t="shared" si="4"/>
        <v>1</v>
      </c>
    </row>
    <row r="268" spans="1:24" x14ac:dyDescent="0.3">
      <c r="A268" s="6">
        <v>175</v>
      </c>
      <c r="B268" s="11">
        <v>44243</v>
      </c>
      <c r="C268" t="s">
        <v>29</v>
      </c>
      <c r="D268" t="s">
        <v>41</v>
      </c>
      <c r="E268" s="6">
        <v>374754</v>
      </c>
      <c r="F268" s="6">
        <v>3937010</v>
      </c>
      <c r="G268" s="16">
        <v>620903</v>
      </c>
      <c r="H268" s="6">
        <v>23994</v>
      </c>
      <c r="I268" s="6">
        <v>833</v>
      </c>
      <c r="J268" s="6">
        <v>160</v>
      </c>
      <c r="K268" s="16">
        <v>939360</v>
      </c>
      <c r="L268" s="8">
        <v>0.51289331827998896</v>
      </c>
      <c r="M268" s="9">
        <v>6.0944727089847373E-3</v>
      </c>
      <c r="N268" s="9">
        <v>3.4717012586479953E-2</v>
      </c>
      <c r="O268" s="9">
        <v>0.1920768307322929</v>
      </c>
      <c r="P268" s="7">
        <v>5871</v>
      </c>
      <c r="Q268" s="7">
        <v>25.8774276902559</v>
      </c>
      <c r="R268" s="7">
        <v>745.38175270108047</v>
      </c>
      <c r="S268" s="7">
        <v>3880.6437500000002</v>
      </c>
      <c r="T268" s="16">
        <v>318457</v>
      </c>
      <c r="U268" t="s">
        <v>23</v>
      </c>
      <c r="V268" t="s">
        <v>36</v>
      </c>
      <c r="W268" t="s">
        <v>43</v>
      </c>
      <c r="X268" t="b">
        <f t="shared" si="4"/>
        <v>1</v>
      </c>
    </row>
    <row r="269" spans="1:24" x14ac:dyDescent="0.3">
      <c r="A269" s="6">
        <v>176</v>
      </c>
      <c r="B269" s="11">
        <v>44243</v>
      </c>
      <c r="C269" t="s">
        <v>29</v>
      </c>
      <c r="D269" t="s">
        <v>44</v>
      </c>
      <c r="E269" s="6">
        <v>39889</v>
      </c>
      <c r="F269" s="6">
        <v>56876855</v>
      </c>
      <c r="G269" s="16">
        <v>206424</v>
      </c>
      <c r="H269" s="6">
        <v>33592</v>
      </c>
      <c r="I269" s="6">
        <v>416</v>
      </c>
      <c r="J269" s="6">
        <v>62</v>
      </c>
      <c r="K269" s="16">
        <v>246822</v>
      </c>
      <c r="L269" s="8">
        <v>0.19570398790838281</v>
      </c>
      <c r="M269" s="9">
        <v>5.9060930847881798E-4</v>
      </c>
      <c r="N269" s="9">
        <v>1.238390092879257E-2</v>
      </c>
      <c r="O269" s="9">
        <v>0.14903846153846151</v>
      </c>
      <c r="P269" s="7">
        <v>3981</v>
      </c>
      <c r="Q269" s="7">
        <v>6.1450345320314357</v>
      </c>
      <c r="R269" s="7">
        <v>496.21153846153851</v>
      </c>
      <c r="S269" s="7">
        <v>3329.4193548387102</v>
      </c>
      <c r="T269" s="16">
        <v>40398</v>
      </c>
      <c r="U269" t="s">
        <v>23</v>
      </c>
      <c r="V269" t="s">
        <v>45</v>
      </c>
      <c r="W269" t="s">
        <v>46</v>
      </c>
      <c r="X269" t="b">
        <f t="shared" si="4"/>
        <v>1</v>
      </c>
    </row>
    <row r="270" spans="1:24" x14ac:dyDescent="0.3">
      <c r="A270" s="6">
        <v>179</v>
      </c>
      <c r="B270" s="11">
        <v>44244</v>
      </c>
      <c r="C270" t="s">
        <v>30</v>
      </c>
      <c r="D270" t="s">
        <v>37</v>
      </c>
      <c r="E270" s="6">
        <v>89459845</v>
      </c>
      <c r="F270" s="6">
        <v>490058</v>
      </c>
      <c r="G270" s="16">
        <v>116213</v>
      </c>
      <c r="H270" s="6">
        <v>8104</v>
      </c>
      <c r="I270" s="6">
        <v>162</v>
      </c>
      <c r="J270" s="6">
        <v>31</v>
      </c>
      <c r="K270" s="16">
        <v>227726</v>
      </c>
      <c r="L270" s="8">
        <v>0.95955702029893386</v>
      </c>
      <c r="M270" s="9">
        <v>1.653681809091985E-2</v>
      </c>
      <c r="N270" s="9">
        <v>1.9990128331688051E-2</v>
      </c>
      <c r="O270" s="9">
        <v>0.19135802469135799</v>
      </c>
      <c r="P270" s="7">
        <v>7346</v>
      </c>
      <c r="Q270" s="7">
        <v>14.340202369200391</v>
      </c>
      <c r="R270" s="7">
        <v>717.3641975308642</v>
      </c>
      <c r="S270" s="7">
        <v>3748.8064516129029</v>
      </c>
      <c r="T270" s="16">
        <v>111513</v>
      </c>
      <c r="U270" t="s">
        <v>23</v>
      </c>
      <c r="V270" t="s">
        <v>38</v>
      </c>
      <c r="W270" t="s">
        <v>39</v>
      </c>
      <c r="X270" t="b">
        <f t="shared" si="4"/>
        <v>1</v>
      </c>
    </row>
    <row r="271" spans="1:24" x14ac:dyDescent="0.3">
      <c r="A271" s="6">
        <v>180</v>
      </c>
      <c r="B271" s="11">
        <v>44244</v>
      </c>
      <c r="C271" t="s">
        <v>30</v>
      </c>
      <c r="D271" t="s">
        <v>37</v>
      </c>
      <c r="E271" s="6">
        <v>127823</v>
      </c>
      <c r="F271" s="6">
        <v>4319200</v>
      </c>
      <c r="G271" s="16">
        <v>180223</v>
      </c>
      <c r="H271" s="6">
        <v>21596</v>
      </c>
      <c r="I271" s="6">
        <v>442</v>
      </c>
      <c r="J271" s="6">
        <v>44</v>
      </c>
      <c r="K271" s="16">
        <v>136708</v>
      </c>
      <c r="L271" s="8">
        <v>-0.24145086920093439</v>
      </c>
      <c r="M271" s="9">
        <v>5.0000000000000001E-3</v>
      </c>
      <c r="N271" s="9">
        <v>2.046675310242637E-2</v>
      </c>
      <c r="O271" s="9">
        <v>9.9547511312217188E-2</v>
      </c>
      <c r="P271" s="7">
        <v>3107</v>
      </c>
      <c r="Q271" s="7">
        <v>8.3452028153361741</v>
      </c>
      <c r="R271" s="7">
        <v>407.74434389140271</v>
      </c>
      <c r="S271" s="7">
        <v>4095.977272727273</v>
      </c>
      <c r="T271" s="16">
        <v>-43515</v>
      </c>
      <c r="U271" t="s">
        <v>23</v>
      </c>
      <c r="V271" t="s">
        <v>38</v>
      </c>
      <c r="W271" t="s">
        <v>40</v>
      </c>
      <c r="X271" t="b">
        <f t="shared" si="4"/>
        <v>1</v>
      </c>
    </row>
    <row r="272" spans="1:24" x14ac:dyDescent="0.3">
      <c r="A272" s="6">
        <v>181</v>
      </c>
      <c r="B272" s="11">
        <v>44244</v>
      </c>
      <c r="C272" t="s">
        <v>30</v>
      </c>
      <c r="D272" t="s">
        <v>41</v>
      </c>
      <c r="E272" s="6">
        <v>10934</v>
      </c>
      <c r="F272" s="6">
        <v>4049400</v>
      </c>
      <c r="G272" s="16">
        <v>363811</v>
      </c>
      <c r="H272" s="6">
        <v>40494</v>
      </c>
      <c r="I272" s="6">
        <v>746</v>
      </c>
      <c r="J272" s="6">
        <v>149</v>
      </c>
      <c r="K272" s="16">
        <v>1189170</v>
      </c>
      <c r="L272" s="8">
        <v>2.268647731926742</v>
      </c>
      <c r="M272" s="9">
        <v>0.01</v>
      </c>
      <c r="N272" s="9">
        <v>1.8422482343063169E-2</v>
      </c>
      <c r="O272" s="9">
        <v>0.19973190348525471</v>
      </c>
      <c r="P272" s="7">
        <v>7981.0067114093963</v>
      </c>
      <c r="Q272" s="7">
        <v>8.9843186644935056</v>
      </c>
      <c r="R272" s="7">
        <v>487.6823056300268</v>
      </c>
      <c r="S272" s="7">
        <v>2441.6845637583888</v>
      </c>
      <c r="T272" s="16">
        <v>825359</v>
      </c>
      <c r="U272" t="s">
        <v>23</v>
      </c>
      <c r="V272" t="s">
        <v>42</v>
      </c>
      <c r="W272" t="s">
        <v>43</v>
      </c>
      <c r="X272" t="b">
        <f t="shared" si="4"/>
        <v>1</v>
      </c>
    </row>
    <row r="273" spans="1:24" x14ac:dyDescent="0.3">
      <c r="A273" s="6">
        <v>186</v>
      </c>
      <c r="B273" s="11">
        <v>44244</v>
      </c>
      <c r="C273" t="s">
        <v>30</v>
      </c>
      <c r="D273" t="s">
        <v>41</v>
      </c>
      <c r="E273" s="6">
        <v>374754</v>
      </c>
      <c r="F273" s="6">
        <v>2795511</v>
      </c>
      <c r="G273" s="16">
        <v>462606</v>
      </c>
      <c r="H273" s="6">
        <v>26990</v>
      </c>
      <c r="I273" s="6">
        <v>795</v>
      </c>
      <c r="J273" s="6">
        <v>119</v>
      </c>
      <c r="K273" s="16">
        <v>592739</v>
      </c>
      <c r="L273" s="8">
        <v>0.28130417677245861</v>
      </c>
      <c r="M273" s="9">
        <v>9.6547643704496238E-3</v>
      </c>
      <c r="N273" s="9">
        <v>2.945535383475361E-2</v>
      </c>
      <c r="O273" s="9">
        <v>0.14968553459119499</v>
      </c>
      <c r="P273" s="7">
        <v>4981</v>
      </c>
      <c r="Q273" s="7">
        <v>17.139903668025191</v>
      </c>
      <c r="R273" s="7">
        <v>581.8943396226415</v>
      </c>
      <c r="S273" s="7">
        <v>3887.4453781512611</v>
      </c>
      <c r="T273" s="16">
        <v>130133</v>
      </c>
      <c r="U273" t="s">
        <v>23</v>
      </c>
      <c r="V273" t="s">
        <v>36</v>
      </c>
      <c r="W273" t="s">
        <v>43</v>
      </c>
      <c r="X273" t="b">
        <f t="shared" si="4"/>
        <v>1</v>
      </c>
    </row>
    <row r="274" spans="1:24" x14ac:dyDescent="0.3">
      <c r="A274" s="6">
        <v>187</v>
      </c>
      <c r="B274" s="11">
        <v>44244</v>
      </c>
      <c r="C274" t="s">
        <v>30</v>
      </c>
      <c r="D274" t="s">
        <v>44</v>
      </c>
      <c r="E274" s="6">
        <v>39889</v>
      </c>
      <c r="F274" s="6">
        <v>16553044</v>
      </c>
      <c r="G274" s="16">
        <v>523398</v>
      </c>
      <c r="H274" s="6">
        <v>37805</v>
      </c>
      <c r="I274" s="6">
        <v>756</v>
      </c>
      <c r="J274" s="6">
        <v>142</v>
      </c>
      <c r="K274" s="16">
        <v>565302</v>
      </c>
      <c r="L274" s="8">
        <v>8.0061444636777362E-2</v>
      </c>
      <c r="M274" s="9">
        <v>2.2838699637359751E-3</v>
      </c>
      <c r="N274" s="9">
        <v>1.9997354847242431E-2</v>
      </c>
      <c r="O274" s="9">
        <v>0.18783068783068779</v>
      </c>
      <c r="P274" s="7">
        <v>3981</v>
      </c>
      <c r="Q274" s="7">
        <v>13.844676630075391</v>
      </c>
      <c r="R274" s="7">
        <v>692.32539682539687</v>
      </c>
      <c r="S274" s="7">
        <v>3685.9014084507039</v>
      </c>
      <c r="T274" s="16">
        <v>41904</v>
      </c>
      <c r="U274" t="s">
        <v>23</v>
      </c>
      <c r="V274" t="s">
        <v>45</v>
      </c>
      <c r="W274" t="s">
        <v>46</v>
      </c>
      <c r="X274" t="b">
        <f t="shared" si="4"/>
        <v>1</v>
      </c>
    </row>
    <row r="275" spans="1:24" x14ac:dyDescent="0.3">
      <c r="A275" s="6">
        <v>190</v>
      </c>
      <c r="B275" s="11">
        <v>44245</v>
      </c>
      <c r="C275" t="s">
        <v>31</v>
      </c>
      <c r="D275" t="s">
        <v>37</v>
      </c>
      <c r="E275" s="6">
        <v>89459845</v>
      </c>
      <c r="F275" s="6">
        <v>527210</v>
      </c>
      <c r="G275" s="16">
        <v>119542</v>
      </c>
      <c r="H275" s="6">
        <v>9004</v>
      </c>
      <c r="I275" s="6">
        <v>162</v>
      </c>
      <c r="J275" s="6">
        <v>28</v>
      </c>
      <c r="K275" s="16">
        <v>214368</v>
      </c>
      <c r="L275" s="8">
        <v>0.7932442154221947</v>
      </c>
      <c r="M275" s="9">
        <v>1.7078583486656172E-2</v>
      </c>
      <c r="N275" s="9">
        <v>1.799200355397601E-2</v>
      </c>
      <c r="O275" s="9">
        <v>0.1728395061728395</v>
      </c>
      <c r="P275" s="7">
        <v>7656</v>
      </c>
      <c r="Q275" s="7">
        <v>13.27654375832963</v>
      </c>
      <c r="R275" s="7">
        <v>737.91358024691363</v>
      </c>
      <c r="S275" s="7">
        <v>4269.3571428571431</v>
      </c>
      <c r="T275" s="16">
        <v>94826</v>
      </c>
      <c r="U275" t="s">
        <v>23</v>
      </c>
      <c r="V275" t="s">
        <v>38</v>
      </c>
      <c r="W275" t="s">
        <v>39</v>
      </c>
      <c r="X275" t="b">
        <f t="shared" si="4"/>
        <v>1</v>
      </c>
    </row>
    <row r="276" spans="1:24" x14ac:dyDescent="0.3">
      <c r="A276" s="6">
        <v>191</v>
      </c>
      <c r="B276" s="11">
        <v>44245</v>
      </c>
      <c r="C276" t="s">
        <v>31</v>
      </c>
      <c r="D276" t="s">
        <v>37</v>
      </c>
      <c r="E276" s="6">
        <v>127823</v>
      </c>
      <c r="F276" s="6">
        <v>10593685</v>
      </c>
      <c r="G276" s="16">
        <v>200986</v>
      </c>
      <c r="H276" s="6">
        <v>24005</v>
      </c>
      <c r="I276" s="6">
        <v>480</v>
      </c>
      <c r="J276" s="6">
        <v>43</v>
      </c>
      <c r="K276" s="16">
        <v>93353</v>
      </c>
      <c r="L276" s="8">
        <v>-0.53552486242822883</v>
      </c>
      <c r="M276" s="9">
        <v>2.265972605377638E-3</v>
      </c>
      <c r="N276" s="9">
        <v>1.9995834201208079E-2</v>
      </c>
      <c r="O276" s="9">
        <v>8.9583333333333334E-2</v>
      </c>
      <c r="P276" s="7">
        <v>2171</v>
      </c>
      <c r="Q276" s="7">
        <v>8.3726723599250157</v>
      </c>
      <c r="R276" s="7">
        <v>418.72083333333342</v>
      </c>
      <c r="S276" s="7">
        <v>4674.0930232558139</v>
      </c>
      <c r="T276" s="16">
        <v>-107633</v>
      </c>
      <c r="U276" t="s">
        <v>23</v>
      </c>
      <c r="V276" t="s">
        <v>38</v>
      </c>
      <c r="W276" t="s">
        <v>40</v>
      </c>
      <c r="X276" t="b">
        <f t="shared" si="4"/>
        <v>1</v>
      </c>
    </row>
    <row r="277" spans="1:24" x14ac:dyDescent="0.3">
      <c r="A277" s="6">
        <v>192</v>
      </c>
      <c r="B277" s="11">
        <v>44245</v>
      </c>
      <c r="C277" t="s">
        <v>31</v>
      </c>
      <c r="D277" t="s">
        <v>41</v>
      </c>
      <c r="E277" s="6">
        <v>10934</v>
      </c>
      <c r="F277" s="6">
        <v>4064081</v>
      </c>
      <c r="G277" s="16">
        <v>86522.9</v>
      </c>
      <c r="H277" s="6">
        <v>45004</v>
      </c>
      <c r="I277" s="6">
        <v>144</v>
      </c>
      <c r="J277" s="6">
        <v>31</v>
      </c>
      <c r="K277" s="16">
        <v>256897</v>
      </c>
      <c r="L277" s="8">
        <v>1.9691214695762631</v>
      </c>
      <c r="M277" s="9">
        <v>1.1073598188618781E-2</v>
      </c>
      <c r="N277" s="9">
        <v>3.199715580837259E-3</v>
      </c>
      <c r="O277" s="9">
        <v>0.21527777777777779</v>
      </c>
      <c r="P277" s="7">
        <v>8287</v>
      </c>
      <c r="Q277" s="7">
        <v>1.922560216869611</v>
      </c>
      <c r="R277" s="7">
        <v>600.85347222222219</v>
      </c>
      <c r="S277" s="7">
        <v>2791.061290322581</v>
      </c>
      <c r="T277" s="16">
        <v>170374.1</v>
      </c>
      <c r="U277" t="s">
        <v>23</v>
      </c>
      <c r="V277" t="s">
        <v>42</v>
      </c>
      <c r="W277" t="s">
        <v>43</v>
      </c>
      <c r="X277" t="b">
        <f t="shared" si="4"/>
        <v>1</v>
      </c>
    </row>
    <row r="278" spans="1:24" x14ac:dyDescent="0.3">
      <c r="A278" s="6">
        <v>197</v>
      </c>
      <c r="B278" s="11">
        <v>44245</v>
      </c>
      <c r="C278" t="s">
        <v>31</v>
      </c>
      <c r="D278" t="s">
        <v>41</v>
      </c>
      <c r="E278" s="6">
        <v>374754</v>
      </c>
      <c r="F278" s="6">
        <v>2482796</v>
      </c>
      <c r="G278" s="16">
        <v>518530</v>
      </c>
      <c r="H278" s="6">
        <v>30000</v>
      </c>
      <c r="I278" s="6">
        <v>1032</v>
      </c>
      <c r="J278" s="6">
        <v>134</v>
      </c>
      <c r="K278" s="16">
        <v>796630</v>
      </c>
      <c r="L278" s="8">
        <v>0.53632383854357513</v>
      </c>
      <c r="M278" s="9">
        <v>1.2083151414775921E-2</v>
      </c>
      <c r="N278" s="9">
        <v>3.44E-2</v>
      </c>
      <c r="O278" s="9">
        <v>0.12984496124031009</v>
      </c>
      <c r="P278" s="7">
        <v>5945</v>
      </c>
      <c r="Q278" s="7">
        <v>17.284333333333329</v>
      </c>
      <c r="R278" s="7">
        <v>502.45155038759691</v>
      </c>
      <c r="S278" s="7">
        <v>3869.626865671642</v>
      </c>
      <c r="T278" s="16">
        <v>278100</v>
      </c>
      <c r="U278" t="s">
        <v>23</v>
      </c>
      <c r="V278" t="s">
        <v>36</v>
      </c>
      <c r="W278" t="s">
        <v>43</v>
      </c>
      <c r="X278" t="b">
        <f t="shared" si="4"/>
        <v>1</v>
      </c>
    </row>
    <row r="279" spans="1:24" x14ac:dyDescent="0.3">
      <c r="A279" s="6">
        <v>198</v>
      </c>
      <c r="B279" s="11">
        <v>44245</v>
      </c>
      <c r="C279" t="s">
        <v>31</v>
      </c>
      <c r="D279" t="s">
        <v>44</v>
      </c>
      <c r="E279" s="6">
        <v>39889</v>
      </c>
      <c r="F279" s="6">
        <v>419970000</v>
      </c>
      <c r="G279" s="16">
        <v>339735</v>
      </c>
      <c r="H279" s="6">
        <v>41997</v>
      </c>
      <c r="I279" s="6">
        <v>840</v>
      </c>
      <c r="J279" s="6">
        <v>114</v>
      </c>
      <c r="K279" s="16">
        <v>516420</v>
      </c>
      <c r="L279" s="8">
        <v>0.52006711113073423</v>
      </c>
      <c r="M279" s="9">
        <v>1E-4</v>
      </c>
      <c r="N279" s="9">
        <v>2.0001428673476679E-2</v>
      </c>
      <c r="O279" s="9">
        <v>0.1357142857142857</v>
      </c>
      <c r="P279" s="7">
        <v>4530</v>
      </c>
      <c r="Q279" s="7">
        <v>8.0895063933138083</v>
      </c>
      <c r="R279" s="7">
        <v>404.44642857142861</v>
      </c>
      <c r="S279" s="7">
        <v>2980.1315789473679</v>
      </c>
      <c r="T279" s="16">
        <v>176685</v>
      </c>
      <c r="U279" t="s">
        <v>23</v>
      </c>
      <c r="V279" t="s">
        <v>45</v>
      </c>
      <c r="W279" t="s">
        <v>46</v>
      </c>
      <c r="X279" t="b">
        <f t="shared" si="4"/>
        <v>1</v>
      </c>
    </row>
    <row r="280" spans="1:24" x14ac:dyDescent="0.3">
      <c r="A280" s="6">
        <v>201</v>
      </c>
      <c r="B280" s="11">
        <v>44246</v>
      </c>
      <c r="C280" t="s">
        <v>32</v>
      </c>
      <c r="D280" t="s">
        <v>37</v>
      </c>
      <c r="E280" s="6">
        <v>89459845</v>
      </c>
      <c r="F280" s="6">
        <v>413291</v>
      </c>
      <c r="G280" s="16">
        <v>9777.5499999999993</v>
      </c>
      <c r="H280" s="6">
        <v>9904</v>
      </c>
      <c r="I280" s="6">
        <v>14</v>
      </c>
      <c r="J280" s="6">
        <v>2</v>
      </c>
      <c r="K280" s="16">
        <v>15962</v>
      </c>
      <c r="L280" s="8">
        <v>0.6325153029133066</v>
      </c>
      <c r="M280" s="9">
        <v>2.3963744673849659E-2</v>
      </c>
      <c r="N280" s="9">
        <v>1.41357027463651E-3</v>
      </c>
      <c r="O280" s="9">
        <v>0.14285714285714279</v>
      </c>
      <c r="P280" s="7">
        <v>7981</v>
      </c>
      <c r="Q280" s="7">
        <v>0.98723243134087235</v>
      </c>
      <c r="R280" s="7">
        <v>698.39642857142849</v>
      </c>
      <c r="S280" s="7">
        <v>4888.7749999999996</v>
      </c>
      <c r="T280" s="16">
        <v>6184.4500000000007</v>
      </c>
      <c r="U280" t="s">
        <v>23</v>
      </c>
      <c r="V280" t="s">
        <v>38</v>
      </c>
      <c r="W280" t="s">
        <v>39</v>
      </c>
      <c r="X280" t="b">
        <f t="shared" si="4"/>
        <v>1</v>
      </c>
    </row>
    <row r="281" spans="1:24" x14ac:dyDescent="0.3">
      <c r="A281" s="6">
        <v>202</v>
      </c>
      <c r="B281" s="11">
        <v>44246</v>
      </c>
      <c r="C281" t="s">
        <v>32</v>
      </c>
      <c r="D281" t="s">
        <v>37</v>
      </c>
      <c r="E281" s="6">
        <v>127823</v>
      </c>
      <c r="F281" s="6">
        <v>8455475</v>
      </c>
      <c r="G281" s="16">
        <v>81623.5</v>
      </c>
      <c r="H281" s="6">
        <v>26406</v>
      </c>
      <c r="I281" s="6">
        <v>281</v>
      </c>
      <c r="J281" s="6">
        <v>20</v>
      </c>
      <c r="K281" s="16">
        <v>72300</v>
      </c>
      <c r="L281" s="8">
        <v>-0.1142256825546564</v>
      </c>
      <c r="M281" s="9">
        <v>3.122946966314725E-3</v>
      </c>
      <c r="N281" s="9">
        <v>1.064152086646974E-2</v>
      </c>
      <c r="O281" s="9">
        <v>7.1174377224199295E-2</v>
      </c>
      <c r="P281" s="7">
        <v>3615</v>
      </c>
      <c r="Q281" s="7">
        <v>3.0910967204423239</v>
      </c>
      <c r="R281" s="7">
        <v>290.47508896797149</v>
      </c>
      <c r="S281" s="7">
        <v>4081.1750000000002</v>
      </c>
      <c r="T281" s="16">
        <v>-9323.5</v>
      </c>
      <c r="U281" t="s">
        <v>23</v>
      </c>
      <c r="V281" t="s">
        <v>38</v>
      </c>
      <c r="W281" t="s">
        <v>40</v>
      </c>
      <c r="X281" t="b">
        <f t="shared" si="4"/>
        <v>1</v>
      </c>
    </row>
    <row r="282" spans="1:24" x14ac:dyDescent="0.3">
      <c r="A282" s="6">
        <v>203</v>
      </c>
      <c r="B282" s="11">
        <v>44246</v>
      </c>
      <c r="C282" t="s">
        <v>32</v>
      </c>
      <c r="D282" t="s">
        <v>41</v>
      </c>
      <c r="E282" s="6">
        <v>10934</v>
      </c>
      <c r="F282" s="6">
        <v>3801165</v>
      </c>
      <c r="G282" s="16">
        <v>880357</v>
      </c>
      <c r="H282" s="6">
        <v>49510</v>
      </c>
      <c r="I282" s="6">
        <v>1666</v>
      </c>
      <c r="J282" s="6">
        <v>369</v>
      </c>
      <c r="K282" s="16">
        <v>2812520</v>
      </c>
      <c r="L282" s="8">
        <v>2.1947494027990921</v>
      </c>
      <c r="M282" s="9">
        <v>1.302495419167545E-2</v>
      </c>
      <c r="N282" s="9">
        <v>3.3649767723692187E-2</v>
      </c>
      <c r="O282" s="9">
        <v>0.22148859543817531</v>
      </c>
      <c r="P282" s="7">
        <v>7622.0054200542008</v>
      </c>
      <c r="Q282" s="7">
        <v>17.781397697434858</v>
      </c>
      <c r="R282" s="7">
        <v>528.42557022809126</v>
      </c>
      <c r="S282" s="7">
        <v>2385.791327913279</v>
      </c>
      <c r="T282" s="16">
        <v>1932163</v>
      </c>
      <c r="U282" t="s">
        <v>23</v>
      </c>
      <c r="V282" t="s">
        <v>42</v>
      </c>
      <c r="W282" t="s">
        <v>43</v>
      </c>
      <c r="X282" t="b">
        <f t="shared" si="4"/>
        <v>1</v>
      </c>
    </row>
    <row r="283" spans="1:24" x14ac:dyDescent="0.3">
      <c r="A283" s="6">
        <v>208</v>
      </c>
      <c r="B283" s="11">
        <v>44246</v>
      </c>
      <c r="C283" t="s">
        <v>32</v>
      </c>
      <c r="D283" t="s">
        <v>41</v>
      </c>
      <c r="E283" s="6">
        <v>374754</v>
      </c>
      <c r="F283" s="6">
        <v>3299900</v>
      </c>
      <c r="G283" s="16">
        <v>404285</v>
      </c>
      <c r="H283" s="6">
        <v>32999</v>
      </c>
      <c r="I283" s="6">
        <v>694</v>
      </c>
      <c r="J283" s="6">
        <v>104</v>
      </c>
      <c r="K283" s="16">
        <v>519272</v>
      </c>
      <c r="L283" s="8">
        <v>0.28442064385272758</v>
      </c>
      <c r="M283" s="9">
        <v>0.01</v>
      </c>
      <c r="N283" s="9">
        <v>2.1030940331525201E-2</v>
      </c>
      <c r="O283" s="9">
        <v>0.14985590778097979</v>
      </c>
      <c r="P283" s="7">
        <v>4993</v>
      </c>
      <c r="Q283" s="7">
        <v>12.251431861571559</v>
      </c>
      <c r="R283" s="7">
        <v>582.54322766570601</v>
      </c>
      <c r="S283" s="7">
        <v>3887.3557692307691</v>
      </c>
      <c r="T283" s="16">
        <v>114987</v>
      </c>
      <c r="U283" t="s">
        <v>23</v>
      </c>
      <c r="V283" t="s">
        <v>36</v>
      </c>
      <c r="W283" t="s">
        <v>43</v>
      </c>
      <c r="X283" t="b">
        <f t="shared" si="4"/>
        <v>1</v>
      </c>
    </row>
    <row r="284" spans="1:24" x14ac:dyDescent="0.3">
      <c r="A284" s="6">
        <v>209</v>
      </c>
      <c r="B284" s="11">
        <v>44246</v>
      </c>
      <c r="C284" t="s">
        <v>32</v>
      </c>
      <c r="D284" t="s">
        <v>44</v>
      </c>
      <c r="E284" s="6">
        <v>39889</v>
      </c>
      <c r="F284" s="6">
        <v>19065489</v>
      </c>
      <c r="G284" s="16">
        <v>492126</v>
      </c>
      <c r="H284" s="6">
        <v>46209</v>
      </c>
      <c r="I284" s="6">
        <v>924</v>
      </c>
      <c r="J284" s="6">
        <v>139</v>
      </c>
      <c r="K284" s="16">
        <v>556417</v>
      </c>
      <c r="L284" s="8">
        <v>0.13063930781954211</v>
      </c>
      <c r="M284" s="9">
        <v>2.4236986525758659E-3</v>
      </c>
      <c r="N284" s="9">
        <v>1.9996104654937352E-2</v>
      </c>
      <c r="O284" s="9">
        <v>0.15043290043290039</v>
      </c>
      <c r="P284" s="7">
        <v>4003</v>
      </c>
      <c r="Q284" s="7">
        <v>10.650003246120891</v>
      </c>
      <c r="R284" s="7">
        <v>532.60389610389609</v>
      </c>
      <c r="S284" s="7">
        <v>3540.4748201438852</v>
      </c>
      <c r="T284" s="16">
        <v>64291</v>
      </c>
      <c r="U284" t="s">
        <v>23</v>
      </c>
      <c r="V284" t="s">
        <v>45</v>
      </c>
      <c r="W284" t="s">
        <v>46</v>
      </c>
      <c r="X284" t="b">
        <f t="shared" si="4"/>
        <v>1</v>
      </c>
    </row>
    <row r="285" spans="1:24" x14ac:dyDescent="0.3">
      <c r="A285" s="6">
        <v>234</v>
      </c>
      <c r="B285" s="11">
        <v>44249</v>
      </c>
      <c r="C285" t="s">
        <v>21</v>
      </c>
      <c r="D285" t="s">
        <v>37</v>
      </c>
      <c r="E285" s="6">
        <v>89459845</v>
      </c>
      <c r="F285" s="6">
        <v>90500</v>
      </c>
      <c r="G285" s="16">
        <v>30645.4</v>
      </c>
      <c r="H285" s="6">
        <v>1810</v>
      </c>
      <c r="I285" s="6">
        <v>65</v>
      </c>
      <c r="J285" s="6">
        <v>7</v>
      </c>
      <c r="K285" s="16">
        <v>59045</v>
      </c>
      <c r="L285" s="8">
        <v>0.92671657083934289</v>
      </c>
      <c r="M285" s="9">
        <v>0.02</v>
      </c>
      <c r="N285" s="9">
        <v>3.591160220994475E-2</v>
      </c>
      <c r="O285" s="9">
        <v>0.1076923076923077</v>
      </c>
      <c r="P285" s="7">
        <v>8435</v>
      </c>
      <c r="Q285" s="7">
        <v>16.931160220994471</v>
      </c>
      <c r="R285" s="7">
        <v>471.46769230769229</v>
      </c>
      <c r="S285" s="7">
        <v>4377.9142857142861</v>
      </c>
      <c r="T285" s="16">
        <v>28399.599999999999</v>
      </c>
      <c r="U285" t="s">
        <v>23</v>
      </c>
      <c r="V285" t="s">
        <v>38</v>
      </c>
      <c r="W285" t="s">
        <v>39</v>
      </c>
      <c r="X285" t="b">
        <f t="shared" si="4"/>
        <v>1</v>
      </c>
    </row>
    <row r="286" spans="1:24" x14ac:dyDescent="0.3">
      <c r="A286" s="6">
        <v>235</v>
      </c>
      <c r="B286" s="11">
        <v>44249</v>
      </c>
      <c r="C286" t="s">
        <v>21</v>
      </c>
      <c r="D286" t="s">
        <v>37</v>
      </c>
      <c r="E286" s="6">
        <v>127823</v>
      </c>
      <c r="F286" s="6">
        <v>959600</v>
      </c>
      <c r="G286" s="16">
        <v>12348.3</v>
      </c>
      <c r="H286" s="6">
        <v>4798</v>
      </c>
      <c r="I286" s="6">
        <v>39</v>
      </c>
      <c r="J286" s="6">
        <v>4</v>
      </c>
      <c r="K286" s="16">
        <v>11924</v>
      </c>
      <c r="L286" s="8">
        <v>-3.4361005158604768E-2</v>
      </c>
      <c r="M286" s="9">
        <v>5.0000000000000001E-3</v>
      </c>
      <c r="N286" s="9">
        <v>8.1283868278449346E-3</v>
      </c>
      <c r="O286" s="9">
        <v>0.1025641025641026</v>
      </c>
      <c r="P286" s="7">
        <v>2981</v>
      </c>
      <c r="Q286" s="7">
        <v>2.5736348478532718</v>
      </c>
      <c r="R286" s="7">
        <v>316.62307692307689</v>
      </c>
      <c r="S286" s="7">
        <v>3087.0749999999998</v>
      </c>
      <c r="T286" s="16">
        <v>-424.29999999999927</v>
      </c>
      <c r="U286" t="s">
        <v>23</v>
      </c>
      <c r="V286" t="s">
        <v>38</v>
      </c>
      <c r="W286" t="s">
        <v>40</v>
      </c>
      <c r="X286" t="b">
        <f t="shared" si="4"/>
        <v>1</v>
      </c>
    </row>
    <row r="287" spans="1:24" x14ac:dyDescent="0.3">
      <c r="A287" s="6">
        <v>236</v>
      </c>
      <c r="B287" s="11">
        <v>44249</v>
      </c>
      <c r="C287" t="s">
        <v>21</v>
      </c>
      <c r="D287" t="s">
        <v>41</v>
      </c>
      <c r="E287" s="6">
        <v>10934</v>
      </c>
      <c r="F287" s="6">
        <v>757387</v>
      </c>
      <c r="G287" s="16">
        <v>77803.8</v>
      </c>
      <c r="H287" s="6">
        <v>8997</v>
      </c>
      <c r="I287" s="6">
        <v>180</v>
      </c>
      <c r="J287" s="6">
        <v>42</v>
      </c>
      <c r="K287" s="16">
        <v>359394</v>
      </c>
      <c r="L287" s="8">
        <v>3.6192345361023501</v>
      </c>
      <c r="M287" s="9">
        <v>1.187899977158309E-2</v>
      </c>
      <c r="N287" s="9">
        <v>2.0006668889629872E-2</v>
      </c>
      <c r="O287" s="9">
        <v>0.23333333333333331</v>
      </c>
      <c r="P287" s="7">
        <v>8557</v>
      </c>
      <c r="Q287" s="7">
        <v>8.6477492497499178</v>
      </c>
      <c r="R287" s="7">
        <v>432.24333333333328</v>
      </c>
      <c r="S287" s="7">
        <v>1852.471428571429</v>
      </c>
      <c r="T287" s="16">
        <v>281590.2</v>
      </c>
      <c r="U287" t="s">
        <v>23</v>
      </c>
      <c r="V287" t="s">
        <v>42</v>
      </c>
      <c r="W287" t="s">
        <v>43</v>
      </c>
      <c r="X287" t="b">
        <f t="shared" si="4"/>
        <v>1</v>
      </c>
    </row>
    <row r="288" spans="1:24" x14ac:dyDescent="0.3">
      <c r="A288" s="6">
        <v>241</v>
      </c>
      <c r="B288" s="11">
        <v>44249</v>
      </c>
      <c r="C288" t="s">
        <v>21</v>
      </c>
      <c r="D288" t="s">
        <v>41</v>
      </c>
      <c r="E288" s="6">
        <v>374754</v>
      </c>
      <c r="F288" s="6">
        <v>599700</v>
      </c>
      <c r="G288" s="16">
        <v>137382</v>
      </c>
      <c r="H288" s="6">
        <v>5997</v>
      </c>
      <c r="I288" s="6">
        <v>236</v>
      </c>
      <c r="J288" s="6">
        <v>35</v>
      </c>
      <c r="K288" s="16">
        <v>158340</v>
      </c>
      <c r="L288" s="8">
        <v>0.15255273616630999</v>
      </c>
      <c r="M288" s="9">
        <v>0.01</v>
      </c>
      <c r="N288" s="9">
        <v>3.9353009838252462E-2</v>
      </c>
      <c r="O288" s="9">
        <v>0.14830508474576271</v>
      </c>
      <c r="P288" s="7">
        <v>4524</v>
      </c>
      <c r="Q288" s="7">
        <v>22.908454227113559</v>
      </c>
      <c r="R288" s="7">
        <v>582.12711864406776</v>
      </c>
      <c r="S288" s="7">
        <v>3925.2</v>
      </c>
      <c r="T288" s="16">
        <v>20958</v>
      </c>
      <c r="U288" t="s">
        <v>23</v>
      </c>
      <c r="V288" t="s">
        <v>36</v>
      </c>
      <c r="W288" t="s">
        <v>43</v>
      </c>
      <c r="X288" t="b">
        <f t="shared" si="4"/>
        <v>1</v>
      </c>
    </row>
    <row r="289" spans="1:24" x14ac:dyDescent="0.3">
      <c r="A289" s="6">
        <v>242</v>
      </c>
      <c r="B289" s="11">
        <v>44249</v>
      </c>
      <c r="C289" t="s">
        <v>21</v>
      </c>
      <c r="D289" t="s">
        <v>44</v>
      </c>
      <c r="E289" s="6">
        <v>39889</v>
      </c>
      <c r="F289" s="6">
        <v>105873774</v>
      </c>
      <c r="G289" s="16">
        <v>60021.599999999999</v>
      </c>
      <c r="H289" s="6">
        <v>8409</v>
      </c>
      <c r="I289" s="6">
        <v>168</v>
      </c>
      <c r="J289" s="6">
        <v>20</v>
      </c>
      <c r="K289" s="16">
        <v>80600</v>
      </c>
      <c r="L289" s="8">
        <v>0.34284990736668142</v>
      </c>
      <c r="M289" s="9">
        <v>7.9424768592833953E-5</v>
      </c>
      <c r="N289" s="9">
        <v>1.9978594363182309E-2</v>
      </c>
      <c r="O289" s="9">
        <v>0.119047619047619</v>
      </c>
      <c r="P289" s="7">
        <v>4030</v>
      </c>
      <c r="Q289" s="7">
        <v>7.1377809489832318</v>
      </c>
      <c r="R289" s="7">
        <v>357.27142857142849</v>
      </c>
      <c r="S289" s="7">
        <v>3001.08</v>
      </c>
      <c r="T289" s="16">
        <v>20578.400000000001</v>
      </c>
      <c r="U289" t="s">
        <v>23</v>
      </c>
      <c r="V289" t="s">
        <v>45</v>
      </c>
      <c r="W289" t="s">
        <v>46</v>
      </c>
      <c r="X289" t="b">
        <f t="shared" si="4"/>
        <v>1</v>
      </c>
    </row>
    <row r="290" spans="1:24" x14ac:dyDescent="0.3">
      <c r="A290" s="6">
        <v>245</v>
      </c>
      <c r="B290" s="11">
        <v>44250</v>
      </c>
      <c r="C290" t="s">
        <v>29</v>
      </c>
      <c r="D290" t="s">
        <v>37</v>
      </c>
      <c r="E290" s="6">
        <v>89459845</v>
      </c>
      <c r="F290" s="6">
        <v>22175</v>
      </c>
      <c r="G290" s="16">
        <v>5409.21</v>
      </c>
      <c r="H290" s="6">
        <v>442</v>
      </c>
      <c r="I290" s="6">
        <v>9</v>
      </c>
      <c r="J290" s="6">
        <v>2</v>
      </c>
      <c r="K290" s="16">
        <v>15050</v>
      </c>
      <c r="L290" s="8">
        <v>1.7822916839982179</v>
      </c>
      <c r="M290" s="9">
        <v>1.9932356257046219E-2</v>
      </c>
      <c r="N290" s="9">
        <v>2.0361990950226241E-2</v>
      </c>
      <c r="O290" s="9">
        <v>0.22222222222222221</v>
      </c>
      <c r="P290" s="7">
        <v>7525</v>
      </c>
      <c r="Q290" s="7">
        <v>12.238031674208139</v>
      </c>
      <c r="R290" s="7">
        <v>601.02333333333331</v>
      </c>
      <c r="S290" s="7">
        <v>2704.605</v>
      </c>
      <c r="T290" s="16">
        <v>9640.7900000000009</v>
      </c>
      <c r="U290" t="s">
        <v>23</v>
      </c>
      <c r="V290" t="s">
        <v>38</v>
      </c>
      <c r="W290" t="s">
        <v>39</v>
      </c>
      <c r="X290" t="b">
        <f t="shared" si="4"/>
        <v>1</v>
      </c>
    </row>
    <row r="291" spans="1:24" x14ac:dyDescent="0.3">
      <c r="A291" s="6">
        <v>246</v>
      </c>
      <c r="B291" s="11">
        <v>44250</v>
      </c>
      <c r="C291" t="s">
        <v>29</v>
      </c>
      <c r="D291" t="s">
        <v>37</v>
      </c>
      <c r="E291" s="6">
        <v>127823</v>
      </c>
      <c r="F291" s="6">
        <v>241000</v>
      </c>
      <c r="G291" s="16">
        <v>12581.6</v>
      </c>
      <c r="H291" s="6">
        <v>1205</v>
      </c>
      <c r="I291" s="6">
        <v>24</v>
      </c>
      <c r="J291" s="6">
        <v>3</v>
      </c>
      <c r="K291" s="16">
        <v>8943</v>
      </c>
      <c r="L291" s="8">
        <v>-0.2892001017358683</v>
      </c>
      <c r="M291" s="9">
        <v>5.0000000000000001E-3</v>
      </c>
      <c r="N291" s="9">
        <v>1.9917012448132779E-2</v>
      </c>
      <c r="O291" s="9">
        <v>0.125</v>
      </c>
      <c r="P291" s="7">
        <v>2981</v>
      </c>
      <c r="Q291" s="7">
        <v>10.441161825726139</v>
      </c>
      <c r="R291" s="7">
        <v>524.23333333333335</v>
      </c>
      <c r="S291" s="7">
        <v>4193.8666666666668</v>
      </c>
      <c r="T291" s="16">
        <v>-3638.6</v>
      </c>
      <c r="U291" t="s">
        <v>23</v>
      </c>
      <c r="V291" t="s">
        <v>38</v>
      </c>
      <c r="W291" t="s">
        <v>40</v>
      </c>
      <c r="X291" t="b">
        <f t="shared" si="4"/>
        <v>1</v>
      </c>
    </row>
    <row r="292" spans="1:24" x14ac:dyDescent="0.3">
      <c r="A292" s="6">
        <v>247</v>
      </c>
      <c r="B292" s="11">
        <v>44250</v>
      </c>
      <c r="C292" t="s">
        <v>29</v>
      </c>
      <c r="D292" t="s">
        <v>41</v>
      </c>
      <c r="E292" s="6">
        <v>10934</v>
      </c>
      <c r="F292" s="6">
        <v>297609</v>
      </c>
      <c r="G292" s="16">
        <v>16343</v>
      </c>
      <c r="H292" s="6">
        <v>2246</v>
      </c>
      <c r="I292" s="6">
        <v>45</v>
      </c>
      <c r="J292" s="6">
        <v>8</v>
      </c>
      <c r="K292" s="16">
        <v>63848</v>
      </c>
      <c r="L292" s="8">
        <v>2.9067490668787861</v>
      </c>
      <c r="M292" s="9">
        <v>7.5468147804669894E-3</v>
      </c>
      <c r="N292" s="9">
        <v>2.003561887800534E-2</v>
      </c>
      <c r="O292" s="9">
        <v>0.17777777777777781</v>
      </c>
      <c r="P292" s="7">
        <v>7981</v>
      </c>
      <c r="Q292" s="7">
        <v>7.2764915405164734</v>
      </c>
      <c r="R292" s="7">
        <v>363.17777777777781</v>
      </c>
      <c r="S292" s="7">
        <v>2042.875</v>
      </c>
      <c r="T292" s="16">
        <v>47505</v>
      </c>
      <c r="U292" t="s">
        <v>23</v>
      </c>
      <c r="V292" t="s">
        <v>42</v>
      </c>
      <c r="W292" t="s">
        <v>43</v>
      </c>
      <c r="X292" t="b">
        <f t="shared" si="4"/>
        <v>1</v>
      </c>
    </row>
    <row r="293" spans="1:24" x14ac:dyDescent="0.3">
      <c r="A293" s="6">
        <v>252</v>
      </c>
      <c r="B293" s="11">
        <v>44250</v>
      </c>
      <c r="C293" t="s">
        <v>29</v>
      </c>
      <c r="D293" t="s">
        <v>41</v>
      </c>
      <c r="E293" s="6">
        <v>374754</v>
      </c>
      <c r="F293" s="6">
        <v>117218</v>
      </c>
      <c r="G293" s="16">
        <v>15435</v>
      </c>
      <c r="H293" s="6">
        <v>1500</v>
      </c>
      <c r="I293" s="6">
        <v>31</v>
      </c>
      <c r="J293" s="6">
        <v>4</v>
      </c>
      <c r="K293" s="16">
        <v>17816</v>
      </c>
      <c r="L293" s="8">
        <v>0.15425979915775831</v>
      </c>
      <c r="M293" s="9">
        <v>1.27966694534969E-2</v>
      </c>
      <c r="N293" s="9">
        <v>2.066666666666667E-2</v>
      </c>
      <c r="O293" s="9">
        <v>0.1290322580645161</v>
      </c>
      <c r="P293" s="7">
        <v>4454</v>
      </c>
      <c r="Q293" s="7">
        <v>10.29</v>
      </c>
      <c r="R293" s="7">
        <v>497.90322580645159</v>
      </c>
      <c r="S293" s="7">
        <v>3858.75</v>
      </c>
      <c r="T293" s="16">
        <v>2381</v>
      </c>
      <c r="U293" t="s">
        <v>23</v>
      </c>
      <c r="V293" t="s">
        <v>36</v>
      </c>
      <c r="W293" t="s">
        <v>43</v>
      </c>
      <c r="X293" t="b">
        <f t="shared" si="4"/>
        <v>1</v>
      </c>
    </row>
    <row r="294" spans="1:24" x14ac:dyDescent="0.3">
      <c r="A294" s="6">
        <v>253</v>
      </c>
      <c r="B294" s="11">
        <v>44250</v>
      </c>
      <c r="C294" t="s">
        <v>29</v>
      </c>
      <c r="D294" t="s">
        <v>44</v>
      </c>
      <c r="E294" s="6">
        <v>39889</v>
      </c>
      <c r="F294" s="6">
        <v>654544</v>
      </c>
      <c r="G294" s="16">
        <v>16706.400000000001</v>
      </c>
      <c r="H294" s="6">
        <v>2099</v>
      </c>
      <c r="I294" s="6">
        <v>42</v>
      </c>
      <c r="J294" s="6">
        <v>6</v>
      </c>
      <c r="K294" s="16">
        <v>23886</v>
      </c>
      <c r="L294" s="8">
        <v>0.42975147248958467</v>
      </c>
      <c r="M294" s="9">
        <v>3.2068126818059601E-3</v>
      </c>
      <c r="N294" s="9">
        <v>2.0009528346831829E-2</v>
      </c>
      <c r="O294" s="9">
        <v>0.14285714285714279</v>
      </c>
      <c r="P294" s="7">
        <v>3981</v>
      </c>
      <c r="Q294" s="7">
        <v>7.9592186755597911</v>
      </c>
      <c r="R294" s="7">
        <v>397.7714285714286</v>
      </c>
      <c r="S294" s="7">
        <v>2784.4</v>
      </c>
      <c r="T294" s="16">
        <v>7179.5999999999995</v>
      </c>
      <c r="U294" t="s">
        <v>23</v>
      </c>
      <c r="V294" t="s">
        <v>45</v>
      </c>
      <c r="W294" t="s">
        <v>46</v>
      </c>
      <c r="X294" t="b">
        <f t="shared" si="4"/>
        <v>1</v>
      </c>
    </row>
    <row r="295" spans="1:24" x14ac:dyDescent="0.3">
      <c r="A295" s="6">
        <v>256</v>
      </c>
      <c r="B295" s="11">
        <v>44251</v>
      </c>
      <c r="C295" t="s">
        <v>30</v>
      </c>
      <c r="D295" t="s">
        <v>37</v>
      </c>
      <c r="E295" s="6">
        <v>89459845</v>
      </c>
      <c r="F295" s="6">
        <v>45150</v>
      </c>
      <c r="G295" s="16">
        <v>14306.2</v>
      </c>
      <c r="H295" s="6">
        <v>903</v>
      </c>
      <c r="I295" s="6">
        <v>18</v>
      </c>
      <c r="J295" s="6">
        <v>3</v>
      </c>
      <c r="K295" s="16">
        <v>23943</v>
      </c>
      <c r="L295" s="8">
        <v>0.67361004319805395</v>
      </c>
      <c r="M295" s="9">
        <v>0.02</v>
      </c>
      <c r="N295" s="9">
        <v>1.993355481727575E-2</v>
      </c>
      <c r="O295" s="9">
        <v>0.16666666666666671</v>
      </c>
      <c r="P295" s="7">
        <v>7981</v>
      </c>
      <c r="Q295" s="7">
        <v>15.842967884828351</v>
      </c>
      <c r="R295" s="7">
        <v>794.78888888888889</v>
      </c>
      <c r="S295" s="7">
        <v>4768.7333333333336</v>
      </c>
      <c r="T295" s="16">
        <v>9636.7999999999993</v>
      </c>
      <c r="U295" t="s">
        <v>23</v>
      </c>
      <c r="V295" t="s">
        <v>38</v>
      </c>
      <c r="W295" t="s">
        <v>39</v>
      </c>
      <c r="X295" t="b">
        <f t="shared" si="4"/>
        <v>1</v>
      </c>
    </row>
    <row r="296" spans="1:24" x14ac:dyDescent="0.3">
      <c r="A296" s="6">
        <v>257</v>
      </c>
      <c r="B296" s="11">
        <v>44251</v>
      </c>
      <c r="C296" t="s">
        <v>30</v>
      </c>
      <c r="D296" t="s">
        <v>37</v>
      </c>
      <c r="E296" s="6">
        <v>127823</v>
      </c>
      <c r="F296" s="6">
        <v>291441</v>
      </c>
      <c r="G296" s="16">
        <v>22357.599999999999</v>
      </c>
      <c r="H296" s="6">
        <v>2408</v>
      </c>
      <c r="I296" s="6">
        <v>52</v>
      </c>
      <c r="J296" s="6">
        <v>5</v>
      </c>
      <c r="K296" s="16">
        <v>19060</v>
      </c>
      <c r="L296" s="8">
        <v>-0.14749346978208749</v>
      </c>
      <c r="M296" s="9">
        <v>8.262392731290381E-3</v>
      </c>
      <c r="N296" s="9">
        <v>2.1594684385382059E-2</v>
      </c>
      <c r="O296" s="9">
        <v>9.6153846153846159E-2</v>
      </c>
      <c r="P296" s="7">
        <v>3812</v>
      </c>
      <c r="Q296" s="7">
        <v>9.2847176079734215</v>
      </c>
      <c r="R296" s="7">
        <v>429.95384615384609</v>
      </c>
      <c r="S296" s="7">
        <v>4471.5200000000004</v>
      </c>
      <c r="T296" s="16">
        <v>-3297.599999999999</v>
      </c>
      <c r="U296" t="s">
        <v>23</v>
      </c>
      <c r="V296" t="s">
        <v>38</v>
      </c>
      <c r="W296" t="s">
        <v>40</v>
      </c>
      <c r="X296" t="b">
        <f t="shared" si="4"/>
        <v>1</v>
      </c>
    </row>
    <row r="297" spans="1:24" x14ac:dyDescent="0.3">
      <c r="A297" s="6">
        <v>258</v>
      </c>
      <c r="B297" s="11">
        <v>44251</v>
      </c>
      <c r="C297" t="s">
        <v>30</v>
      </c>
      <c r="D297" t="s">
        <v>41</v>
      </c>
      <c r="E297" s="6">
        <v>10934</v>
      </c>
      <c r="F297" s="6">
        <v>409320</v>
      </c>
      <c r="G297" s="16">
        <v>22944.3</v>
      </c>
      <c r="H297" s="6">
        <v>4508</v>
      </c>
      <c r="I297" s="6">
        <v>65</v>
      </c>
      <c r="J297" s="6">
        <v>14</v>
      </c>
      <c r="K297" s="16">
        <v>111734</v>
      </c>
      <c r="L297" s="8">
        <v>3.869793369159225</v>
      </c>
      <c r="M297" s="9">
        <v>1.1013388058242941E-2</v>
      </c>
      <c r="N297" s="9">
        <v>1.441881100266194E-2</v>
      </c>
      <c r="O297" s="9">
        <v>0.2153846153846154</v>
      </c>
      <c r="P297" s="7">
        <v>7981</v>
      </c>
      <c r="Q297" s="7">
        <v>5.0896850044365571</v>
      </c>
      <c r="R297" s="7">
        <v>352.98923076923069</v>
      </c>
      <c r="S297" s="7">
        <v>1638.8785714285709</v>
      </c>
      <c r="T297" s="16">
        <v>88789.7</v>
      </c>
      <c r="U297" t="s">
        <v>23</v>
      </c>
      <c r="V297" t="s">
        <v>42</v>
      </c>
      <c r="W297" t="s">
        <v>43</v>
      </c>
      <c r="X297" t="b">
        <f t="shared" si="4"/>
        <v>1</v>
      </c>
    </row>
    <row r="298" spans="1:24" x14ac:dyDescent="0.3">
      <c r="A298" s="6">
        <v>263</v>
      </c>
      <c r="B298" s="11">
        <v>44251</v>
      </c>
      <c r="C298" t="s">
        <v>30</v>
      </c>
      <c r="D298" t="s">
        <v>41</v>
      </c>
      <c r="E298" s="6">
        <v>374754</v>
      </c>
      <c r="F298" s="6">
        <v>355802</v>
      </c>
      <c r="G298" s="16">
        <v>42311.5</v>
      </c>
      <c r="H298" s="6">
        <v>2990</v>
      </c>
      <c r="I298" s="6">
        <v>60</v>
      </c>
      <c r="J298" s="6">
        <v>9</v>
      </c>
      <c r="K298" s="16">
        <v>44829</v>
      </c>
      <c r="L298" s="8">
        <v>5.9499190527397987E-2</v>
      </c>
      <c r="M298" s="9">
        <v>8.4035502892057939E-3</v>
      </c>
      <c r="N298" s="9">
        <v>2.006688963210702E-2</v>
      </c>
      <c r="O298" s="9">
        <v>0.15</v>
      </c>
      <c r="P298" s="7">
        <v>4981</v>
      </c>
      <c r="Q298" s="7">
        <v>14.151003344481611</v>
      </c>
      <c r="R298" s="7">
        <v>705.19166666666672</v>
      </c>
      <c r="S298" s="7">
        <v>4701.2777777777774</v>
      </c>
      <c r="T298" s="16">
        <v>2517.5</v>
      </c>
      <c r="U298" t="s">
        <v>23</v>
      </c>
      <c r="V298" t="s">
        <v>36</v>
      </c>
      <c r="W298" t="s">
        <v>43</v>
      </c>
      <c r="X298" t="b">
        <f t="shared" si="4"/>
        <v>1</v>
      </c>
    </row>
    <row r="299" spans="1:24" x14ac:dyDescent="0.3">
      <c r="A299" s="6">
        <v>264</v>
      </c>
      <c r="B299" s="11">
        <v>44251</v>
      </c>
      <c r="C299" t="s">
        <v>30</v>
      </c>
      <c r="D299" t="s">
        <v>44</v>
      </c>
      <c r="E299" s="6">
        <v>39889</v>
      </c>
      <c r="F299" s="6">
        <v>2770687</v>
      </c>
      <c r="G299" s="16">
        <v>34169.9</v>
      </c>
      <c r="H299" s="6">
        <v>4205</v>
      </c>
      <c r="I299" s="6">
        <v>84</v>
      </c>
      <c r="J299" s="6">
        <v>16</v>
      </c>
      <c r="K299" s="16">
        <v>63696</v>
      </c>
      <c r="L299" s="8">
        <v>0.86409676352579312</v>
      </c>
      <c r="M299" s="9">
        <v>1.517674136414543E-3</v>
      </c>
      <c r="N299" s="9">
        <v>1.9976218787158141E-2</v>
      </c>
      <c r="O299" s="9">
        <v>0.19047619047619049</v>
      </c>
      <c r="P299" s="7">
        <v>3981</v>
      </c>
      <c r="Q299" s="7">
        <v>8.1260166468489903</v>
      </c>
      <c r="R299" s="7">
        <v>406.78452380952382</v>
      </c>
      <c r="S299" s="7">
        <v>2135.6187500000001</v>
      </c>
      <c r="T299" s="16">
        <v>29526.1</v>
      </c>
      <c r="U299" t="s">
        <v>23</v>
      </c>
      <c r="V299" t="s">
        <v>45</v>
      </c>
      <c r="W299" t="s">
        <v>46</v>
      </c>
      <c r="X299" t="b">
        <f t="shared" si="4"/>
        <v>1</v>
      </c>
    </row>
    <row r="300" spans="1:24" x14ac:dyDescent="0.3">
      <c r="A300" s="6">
        <v>267</v>
      </c>
      <c r="B300" s="11">
        <v>44252</v>
      </c>
      <c r="C300" t="s">
        <v>31</v>
      </c>
      <c r="D300" t="s">
        <v>37</v>
      </c>
      <c r="E300" s="6">
        <v>89459845</v>
      </c>
      <c r="F300" s="6">
        <v>8750</v>
      </c>
      <c r="G300" s="16">
        <v>1078.73</v>
      </c>
      <c r="H300" s="6">
        <v>175</v>
      </c>
      <c r="I300" s="6">
        <v>1</v>
      </c>
      <c r="J300" s="6">
        <v>0</v>
      </c>
      <c r="K300" s="16">
        <v>0</v>
      </c>
      <c r="L300" s="8">
        <v>0</v>
      </c>
      <c r="M300" s="9">
        <v>0.02</v>
      </c>
      <c r="N300" s="9">
        <v>5.7142857142857143E-3</v>
      </c>
      <c r="O300" s="9">
        <v>0</v>
      </c>
      <c r="P300" s="7">
        <v>0</v>
      </c>
      <c r="Q300" s="7">
        <v>6.1641714285714286</v>
      </c>
      <c r="R300" s="7">
        <v>1078.73</v>
      </c>
      <c r="S300" s="7">
        <v>0</v>
      </c>
      <c r="T300" s="16">
        <v>0</v>
      </c>
      <c r="U300" t="s">
        <v>23</v>
      </c>
      <c r="V300" t="s">
        <v>38</v>
      </c>
      <c r="W300" t="s">
        <v>39</v>
      </c>
      <c r="X300" t="b">
        <f t="shared" si="4"/>
        <v>1</v>
      </c>
    </row>
    <row r="301" spans="1:24" x14ac:dyDescent="0.3">
      <c r="A301" s="6">
        <v>268</v>
      </c>
      <c r="B301" s="11">
        <v>44252</v>
      </c>
      <c r="C301" t="s">
        <v>31</v>
      </c>
      <c r="D301" t="s">
        <v>37</v>
      </c>
      <c r="E301" s="6">
        <v>127823</v>
      </c>
      <c r="F301" s="6">
        <v>61867</v>
      </c>
      <c r="G301" s="16">
        <v>9472.2199999999993</v>
      </c>
      <c r="H301" s="6">
        <v>487</v>
      </c>
      <c r="I301" s="6">
        <v>19</v>
      </c>
      <c r="J301" s="6">
        <v>2</v>
      </c>
      <c r="K301" s="16">
        <v>5730</v>
      </c>
      <c r="L301" s="8">
        <v>-0.39507317186467372</v>
      </c>
      <c r="M301" s="9">
        <v>7.8717248290688085E-3</v>
      </c>
      <c r="N301" s="9">
        <v>3.9014373716632453E-2</v>
      </c>
      <c r="O301" s="9">
        <v>0.10526315789473679</v>
      </c>
      <c r="P301" s="7">
        <v>2865</v>
      </c>
      <c r="Q301" s="7">
        <v>19.450143737166322</v>
      </c>
      <c r="R301" s="7">
        <v>498.53789473684208</v>
      </c>
      <c r="S301" s="7">
        <v>4736.1099999999997</v>
      </c>
      <c r="T301" s="16">
        <v>-3742.2199999999989</v>
      </c>
      <c r="U301" t="s">
        <v>23</v>
      </c>
      <c r="V301" t="s">
        <v>38</v>
      </c>
      <c r="W301" t="s">
        <v>40</v>
      </c>
      <c r="X301" t="b">
        <f t="shared" si="4"/>
        <v>1</v>
      </c>
    </row>
    <row r="302" spans="1:24" x14ac:dyDescent="0.3">
      <c r="A302" s="6">
        <v>269</v>
      </c>
      <c r="B302" s="11">
        <v>44252</v>
      </c>
      <c r="C302" t="s">
        <v>31</v>
      </c>
      <c r="D302" t="s">
        <v>41</v>
      </c>
      <c r="E302" s="6">
        <v>10934</v>
      </c>
      <c r="F302" s="6">
        <v>94976</v>
      </c>
      <c r="G302" s="16">
        <v>9034.91</v>
      </c>
      <c r="H302" s="6">
        <v>904</v>
      </c>
      <c r="I302" s="6">
        <v>22</v>
      </c>
      <c r="J302" s="6">
        <v>5</v>
      </c>
      <c r="K302" s="16">
        <v>38030</v>
      </c>
      <c r="L302" s="8">
        <v>3.2092284261824409</v>
      </c>
      <c r="M302" s="9">
        <v>9.5181940700808619E-3</v>
      </c>
      <c r="N302" s="9">
        <v>2.4336283185840711E-2</v>
      </c>
      <c r="O302" s="9">
        <v>0.22727272727272729</v>
      </c>
      <c r="P302" s="7">
        <v>7606</v>
      </c>
      <c r="Q302" s="7">
        <v>9.9943694690265481</v>
      </c>
      <c r="R302" s="7">
        <v>410.67772727272728</v>
      </c>
      <c r="S302" s="7">
        <v>1806.982</v>
      </c>
      <c r="T302" s="16">
        <v>28995.09</v>
      </c>
      <c r="U302" t="s">
        <v>23</v>
      </c>
      <c r="V302" t="s">
        <v>42</v>
      </c>
      <c r="W302" t="s">
        <v>43</v>
      </c>
      <c r="X302" t="b">
        <f t="shared" si="4"/>
        <v>1</v>
      </c>
    </row>
    <row r="303" spans="1:24" x14ac:dyDescent="0.3">
      <c r="A303" s="6">
        <v>274</v>
      </c>
      <c r="B303" s="11">
        <v>44252</v>
      </c>
      <c r="C303" t="s">
        <v>31</v>
      </c>
      <c r="D303" t="s">
        <v>41</v>
      </c>
      <c r="E303" s="6">
        <v>374754</v>
      </c>
      <c r="F303" s="6">
        <v>46753</v>
      </c>
      <c r="G303" s="16">
        <v>6227.53</v>
      </c>
      <c r="H303" s="6">
        <v>591</v>
      </c>
      <c r="I303" s="6">
        <v>12</v>
      </c>
      <c r="J303" s="6">
        <v>2</v>
      </c>
      <c r="K303" s="16">
        <v>10130</v>
      </c>
      <c r="L303" s="8">
        <v>0.62664812534022318</v>
      </c>
      <c r="M303" s="9">
        <v>1.26409000491947E-2</v>
      </c>
      <c r="N303" s="9">
        <v>2.030456852791878E-2</v>
      </c>
      <c r="O303" s="9">
        <v>0.16666666666666671</v>
      </c>
      <c r="P303" s="7">
        <v>5065</v>
      </c>
      <c r="Q303" s="7">
        <v>10.537275803722499</v>
      </c>
      <c r="R303" s="7">
        <v>518.96083333333331</v>
      </c>
      <c r="S303" s="7">
        <v>3113.7649999999999</v>
      </c>
      <c r="T303" s="16">
        <v>3902.47</v>
      </c>
      <c r="U303" t="s">
        <v>23</v>
      </c>
      <c r="V303" t="s">
        <v>36</v>
      </c>
      <c r="W303" t="s">
        <v>43</v>
      </c>
      <c r="X303" t="b">
        <f t="shared" si="4"/>
        <v>1</v>
      </c>
    </row>
    <row r="304" spans="1:24" x14ac:dyDescent="0.3">
      <c r="A304" s="6">
        <v>275</v>
      </c>
      <c r="B304" s="11">
        <v>44252</v>
      </c>
      <c r="C304" t="s">
        <v>31</v>
      </c>
      <c r="D304" t="s">
        <v>44</v>
      </c>
      <c r="E304" s="6">
        <v>39889</v>
      </c>
      <c r="F304" s="6">
        <v>2885291</v>
      </c>
      <c r="G304" s="16">
        <v>7583.66</v>
      </c>
      <c r="H304" s="6">
        <v>848</v>
      </c>
      <c r="I304" s="6">
        <v>17</v>
      </c>
      <c r="J304" s="6">
        <v>3</v>
      </c>
      <c r="K304" s="16">
        <v>11943</v>
      </c>
      <c r="L304" s="8">
        <v>0.57483325992990197</v>
      </c>
      <c r="M304" s="9">
        <v>2.9390449698141359E-4</v>
      </c>
      <c r="N304" s="9">
        <v>2.004716981132075E-2</v>
      </c>
      <c r="O304" s="9">
        <v>0.1764705882352941</v>
      </c>
      <c r="P304" s="7">
        <v>3981</v>
      </c>
      <c r="Q304" s="7">
        <v>8.9429952830188686</v>
      </c>
      <c r="R304" s="7">
        <v>446.0976470588235</v>
      </c>
      <c r="S304" s="7">
        <v>2527.8866666666672</v>
      </c>
      <c r="T304" s="16">
        <v>4359.34</v>
      </c>
      <c r="U304" t="s">
        <v>23</v>
      </c>
      <c r="V304" t="s">
        <v>45</v>
      </c>
      <c r="W304" t="s">
        <v>46</v>
      </c>
      <c r="X304" t="b">
        <f t="shared" si="4"/>
        <v>1</v>
      </c>
    </row>
    <row r="305" spans="1:24" x14ac:dyDescent="0.3">
      <c r="A305" s="6">
        <v>278</v>
      </c>
      <c r="B305" s="11">
        <v>44253</v>
      </c>
      <c r="C305" t="s">
        <v>32</v>
      </c>
      <c r="D305" t="s">
        <v>37</v>
      </c>
      <c r="E305" s="6">
        <v>89459845</v>
      </c>
      <c r="F305" s="6">
        <v>22450</v>
      </c>
      <c r="G305" s="16">
        <v>1545.74</v>
      </c>
      <c r="H305" s="6">
        <v>449</v>
      </c>
      <c r="I305" s="6">
        <v>2</v>
      </c>
      <c r="J305" s="6">
        <v>0</v>
      </c>
      <c r="K305" s="16">
        <v>0</v>
      </c>
      <c r="L305" s="8">
        <v>0</v>
      </c>
      <c r="M305" s="9">
        <v>0.02</v>
      </c>
      <c r="N305" s="9">
        <v>4.4543429844097994E-3</v>
      </c>
      <c r="O305" s="9">
        <v>0</v>
      </c>
      <c r="P305" s="7">
        <v>0</v>
      </c>
      <c r="Q305" s="7">
        <v>3.4426280623608019</v>
      </c>
      <c r="R305" s="7">
        <v>772.87</v>
      </c>
      <c r="S305" s="7">
        <v>0</v>
      </c>
      <c r="T305" s="16">
        <v>0</v>
      </c>
      <c r="U305" t="s">
        <v>23</v>
      </c>
      <c r="V305" t="s">
        <v>38</v>
      </c>
      <c r="W305" t="s">
        <v>39</v>
      </c>
      <c r="X305" t="b">
        <f t="shared" si="4"/>
        <v>1</v>
      </c>
    </row>
    <row r="306" spans="1:24" x14ac:dyDescent="0.3">
      <c r="A306" s="6">
        <v>279</v>
      </c>
      <c r="B306" s="11">
        <v>44253</v>
      </c>
      <c r="C306" t="s">
        <v>32</v>
      </c>
      <c r="D306" t="s">
        <v>37</v>
      </c>
      <c r="E306" s="6">
        <v>127823</v>
      </c>
      <c r="F306" s="6">
        <v>240600</v>
      </c>
      <c r="G306" s="16">
        <v>4453.1000000000004</v>
      </c>
      <c r="H306" s="6">
        <v>1203</v>
      </c>
      <c r="I306" s="6">
        <v>11</v>
      </c>
      <c r="J306" s="6">
        <v>1</v>
      </c>
      <c r="K306" s="16">
        <v>2283</v>
      </c>
      <c r="L306" s="8">
        <v>-0.48732343760526381</v>
      </c>
      <c r="M306" s="9">
        <v>5.0000000000000001E-3</v>
      </c>
      <c r="N306" s="9">
        <v>9.14380714879468E-3</v>
      </c>
      <c r="O306" s="9">
        <v>9.0909090909090912E-2</v>
      </c>
      <c r="P306" s="7">
        <v>2283</v>
      </c>
      <c r="Q306" s="7">
        <v>3.7016625103906899</v>
      </c>
      <c r="R306" s="7">
        <v>404.82727272727283</v>
      </c>
      <c r="S306" s="7">
        <v>4453.1000000000004</v>
      </c>
      <c r="T306" s="16">
        <v>-2170.1</v>
      </c>
      <c r="U306" t="s">
        <v>23</v>
      </c>
      <c r="V306" t="s">
        <v>38</v>
      </c>
      <c r="W306" t="s">
        <v>40</v>
      </c>
      <c r="X306" t="b">
        <f t="shared" si="4"/>
        <v>1</v>
      </c>
    </row>
    <row r="307" spans="1:24" x14ac:dyDescent="0.3">
      <c r="A307" s="6">
        <v>280</v>
      </c>
      <c r="B307" s="11">
        <v>44253</v>
      </c>
      <c r="C307" t="s">
        <v>32</v>
      </c>
      <c r="D307" t="s">
        <v>41</v>
      </c>
      <c r="E307" s="6">
        <v>10934</v>
      </c>
      <c r="F307" s="6">
        <v>195016</v>
      </c>
      <c r="G307" s="16">
        <v>38804.199999999997</v>
      </c>
      <c r="H307" s="6">
        <v>2247</v>
      </c>
      <c r="I307" s="6">
        <v>82</v>
      </c>
      <c r="J307" s="6">
        <v>16</v>
      </c>
      <c r="K307" s="16">
        <v>127696</v>
      </c>
      <c r="L307" s="8">
        <v>2.2907778024028329</v>
      </c>
      <c r="M307" s="9">
        <v>1.152213151741396E-2</v>
      </c>
      <c r="N307" s="9">
        <v>3.6493101913662659E-2</v>
      </c>
      <c r="O307" s="9">
        <v>0.1951219512195122</v>
      </c>
      <c r="P307" s="7">
        <v>7981</v>
      </c>
      <c r="Q307" s="7">
        <v>17.269336893635959</v>
      </c>
      <c r="R307" s="7">
        <v>473.22195121951222</v>
      </c>
      <c r="S307" s="7">
        <v>2425.2624999999998</v>
      </c>
      <c r="T307" s="16">
        <v>88891.8</v>
      </c>
      <c r="U307" t="s">
        <v>23</v>
      </c>
      <c r="V307" t="s">
        <v>42</v>
      </c>
      <c r="W307" t="s">
        <v>43</v>
      </c>
      <c r="X307" t="b">
        <f t="shared" si="4"/>
        <v>1</v>
      </c>
    </row>
    <row r="308" spans="1:24" x14ac:dyDescent="0.3">
      <c r="A308" s="6">
        <v>285</v>
      </c>
      <c r="B308" s="11">
        <v>44253</v>
      </c>
      <c r="C308" t="s">
        <v>32</v>
      </c>
      <c r="D308" t="s">
        <v>41</v>
      </c>
      <c r="E308" s="6">
        <v>374754</v>
      </c>
      <c r="F308" s="6">
        <v>192489</v>
      </c>
      <c r="G308" s="16">
        <v>15596</v>
      </c>
      <c r="H308" s="6">
        <v>1497</v>
      </c>
      <c r="I308" s="6">
        <v>34</v>
      </c>
      <c r="J308" s="6">
        <v>5</v>
      </c>
      <c r="K308" s="16">
        <v>25205</v>
      </c>
      <c r="L308" s="8">
        <v>0.61611951782508334</v>
      </c>
      <c r="M308" s="9">
        <v>7.777067780496548E-3</v>
      </c>
      <c r="N308" s="9">
        <v>2.2712090848363391E-2</v>
      </c>
      <c r="O308" s="9">
        <v>0.1470588235294118</v>
      </c>
      <c r="P308" s="7">
        <v>5041</v>
      </c>
      <c r="Q308" s="7">
        <v>10.41816967267869</v>
      </c>
      <c r="R308" s="7">
        <v>458.70588235294122</v>
      </c>
      <c r="S308" s="7">
        <v>3119.2</v>
      </c>
      <c r="T308" s="16">
        <v>9609</v>
      </c>
      <c r="U308" t="s">
        <v>23</v>
      </c>
      <c r="V308" t="s">
        <v>36</v>
      </c>
      <c r="W308" t="s">
        <v>43</v>
      </c>
      <c r="X308" t="b">
        <f t="shared" si="4"/>
        <v>1</v>
      </c>
    </row>
    <row r="309" spans="1:24" x14ac:dyDescent="0.3">
      <c r="A309" s="6">
        <v>286</v>
      </c>
      <c r="B309" s="11">
        <v>44253</v>
      </c>
      <c r="C309" t="s">
        <v>32</v>
      </c>
      <c r="D309" t="s">
        <v>44</v>
      </c>
      <c r="E309" s="6">
        <v>39889</v>
      </c>
      <c r="F309" s="6">
        <v>20930000</v>
      </c>
      <c r="G309" s="16">
        <v>8087.73</v>
      </c>
      <c r="H309" s="6">
        <v>2093</v>
      </c>
      <c r="I309" s="6">
        <v>22</v>
      </c>
      <c r="J309" s="6">
        <v>3</v>
      </c>
      <c r="K309" s="16">
        <v>12213</v>
      </c>
      <c r="L309" s="8">
        <v>0.51006524698524813</v>
      </c>
      <c r="M309" s="9">
        <v>1E-4</v>
      </c>
      <c r="N309" s="9">
        <v>1.051122790253225E-2</v>
      </c>
      <c r="O309" s="9">
        <v>0.13636363636363641</v>
      </c>
      <c r="P309" s="7">
        <v>4071</v>
      </c>
      <c r="Q309" s="7">
        <v>3.8641806020066891</v>
      </c>
      <c r="R309" s="7">
        <v>367.62409090909091</v>
      </c>
      <c r="S309" s="7">
        <v>2695.91</v>
      </c>
      <c r="T309" s="16">
        <v>4125.2700000000004</v>
      </c>
      <c r="U309" t="s">
        <v>23</v>
      </c>
      <c r="V309" t="s">
        <v>45</v>
      </c>
      <c r="W309" t="s">
        <v>46</v>
      </c>
      <c r="X309" t="b">
        <f t="shared" si="4"/>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selection activeCell="D49" sqref="D49"/>
    </sheetView>
  </sheetViews>
  <sheetFormatPr defaultRowHeight="14.4" x14ac:dyDescent="0.3"/>
  <cols>
    <col min="1" max="1" width="27.33203125" customWidth="1"/>
    <col min="2" max="2" width="20.109375" style="16" customWidth="1"/>
    <col min="3" max="3" width="21.88671875" style="16" customWidth="1"/>
    <col min="4" max="4" width="16.44140625" customWidth="1"/>
    <col min="5" max="5" width="12.33203125" customWidth="1"/>
    <col min="6" max="6" width="12" customWidth="1"/>
  </cols>
  <sheetData>
    <row r="1" spans="1:6" ht="15.6" x14ac:dyDescent="0.3">
      <c r="A1" s="2" t="s">
        <v>67</v>
      </c>
    </row>
    <row r="3" spans="1:6" x14ac:dyDescent="0.3">
      <c r="A3" s="1" t="s">
        <v>19</v>
      </c>
      <c r="B3" s="18" t="s">
        <v>47</v>
      </c>
      <c r="C3" s="18" t="s">
        <v>48</v>
      </c>
      <c r="D3" s="1" t="s">
        <v>66</v>
      </c>
      <c r="E3" s="1" t="s">
        <v>49</v>
      </c>
      <c r="F3" s="1" t="s">
        <v>16</v>
      </c>
    </row>
    <row r="4" spans="1:6" x14ac:dyDescent="0.3">
      <c r="A4" t="s">
        <v>43</v>
      </c>
      <c r="B4" s="16">
        <f>SUMIFS(Digital_Marketing!$G$2:$G$309,Digital_Marketing!$W$2:$W$309,A4,Digital_Marketing!$X$2:$X$309,TRUE)</f>
        <v>8305304.0800000001</v>
      </c>
      <c r="C4" s="16">
        <f>SUMIFS(Digital_Marketing!$K$2:$K$309,Digital_Marketing!$W$2:$W$309,A4,Digital_Marketing!$X$2:$X$309,TRUE)</f>
        <v>21119887</v>
      </c>
      <c r="D4">
        <f>SUMIFS(Digital_Marketing!$J$2:$J$309,Digital_Marketing!$W$2:$W$309,A4,Digital_Marketing!$X$2:$X$309,TRUE)</f>
        <v>3014</v>
      </c>
      <c r="E4" s="8">
        <f t="shared" ref="E4:E11" si="0">IFERROR(C4/B4,"")</f>
        <v>2.5429396439389609</v>
      </c>
      <c r="F4" s="7">
        <f t="shared" ref="F4:F11" si="1">IFERROR(B4/D4,"")</f>
        <v>2755.5753417385536</v>
      </c>
    </row>
    <row r="5" spans="1:6" x14ac:dyDescent="0.3">
      <c r="A5" t="s">
        <v>27</v>
      </c>
      <c r="B5" s="16">
        <f>SUMIFS(Digital_Marketing!$G$2:$G$309,Digital_Marketing!$W$2:$W$309,A5,Digital_Marketing!$X$2:$X$309,TRUE)</f>
        <v>266466.22000000003</v>
      </c>
      <c r="C5" s="16">
        <f>SUMIFS(Digital_Marketing!$K$2:$K$309,Digital_Marketing!$W$2:$W$309,A5,Digital_Marketing!$X$2:$X$309,TRUE)</f>
        <v>536919</v>
      </c>
      <c r="D5">
        <f>SUMIFS(Digital_Marketing!$J$2:$J$309,Digital_Marketing!$W$2:$W$309,A5,Digital_Marketing!$X$2:$X$309,TRUE)</f>
        <v>108</v>
      </c>
      <c r="E5" s="8">
        <f t="shared" si="0"/>
        <v>2.0149608456936865</v>
      </c>
      <c r="F5" s="7">
        <f t="shared" si="1"/>
        <v>2467.2798148148149</v>
      </c>
    </row>
    <row r="6" spans="1:6" x14ac:dyDescent="0.3">
      <c r="A6" t="s">
        <v>39</v>
      </c>
      <c r="B6" s="16">
        <f>SUMIFS(Digital_Marketing!$G$2:$G$309,Digital_Marketing!$W$2:$W$309,A6,Digital_Marketing!$X$2:$X$309,TRUE)</f>
        <v>1199998.7599999998</v>
      </c>
      <c r="C6" s="16">
        <f>SUMIFS(Digital_Marketing!$K$2:$K$309,Digital_Marketing!$W$2:$W$309,A6,Digital_Marketing!$X$2:$X$309,TRUE)</f>
        <v>2205747</v>
      </c>
      <c r="D6">
        <f>SUMIFS(Digital_Marketing!$J$2:$J$309,Digital_Marketing!$W$2:$W$309,A6,Digital_Marketing!$X$2:$X$309,TRUE)</f>
        <v>281</v>
      </c>
      <c r="E6" s="8">
        <f t="shared" si="0"/>
        <v>1.838124399395213</v>
      </c>
      <c r="F6" s="7">
        <f t="shared" si="1"/>
        <v>4270.4582206405685</v>
      </c>
    </row>
    <row r="7" spans="1:6" x14ac:dyDescent="0.3">
      <c r="A7" t="s">
        <v>25</v>
      </c>
      <c r="B7" s="16">
        <f>SUMIFS(Digital_Marketing!$G$2:$G$309,Digital_Marketing!$W$2:$W$309,A7,Digital_Marketing!$X$2:$X$309,TRUE)</f>
        <v>5130070.7299999995</v>
      </c>
      <c r="C7" s="16">
        <f>SUMIFS(Digital_Marketing!$K$2:$K$309,Digital_Marketing!$W$2:$W$309,A7,Digital_Marketing!$X$2:$X$309,TRUE)</f>
        <v>6940536</v>
      </c>
      <c r="D7">
        <f>SUMIFS(Digital_Marketing!$J$2:$J$309,Digital_Marketing!$W$2:$W$309,A7,Digital_Marketing!$X$2:$X$309,TRUE)</f>
        <v>1232</v>
      </c>
      <c r="E7" s="8">
        <f t="shared" si="0"/>
        <v>1.352912340840182</v>
      </c>
      <c r="F7" s="7">
        <f t="shared" si="1"/>
        <v>4164.0184496753245</v>
      </c>
    </row>
    <row r="8" spans="1:6" x14ac:dyDescent="0.3">
      <c r="A8" t="s">
        <v>46</v>
      </c>
      <c r="B8" s="16">
        <f>SUMIFS(Digital_Marketing!$G$2:$G$309,Digital_Marketing!$W$2:$W$309,A8,Digital_Marketing!$X$2:$X$309,TRUE)</f>
        <v>5026674.7600000016</v>
      </c>
      <c r="C8" s="16">
        <f>SUMIFS(Digital_Marketing!$K$2:$K$309,Digital_Marketing!$W$2:$W$309,A8,Digital_Marketing!$X$2:$X$309,TRUE)</f>
        <v>6152960</v>
      </c>
      <c r="D8">
        <f>SUMIFS(Digital_Marketing!$J$2:$J$309,Digital_Marketing!$W$2:$W$309,A8,Digital_Marketing!$X$2:$X$309,TRUE)</f>
        <v>1566</v>
      </c>
      <c r="E8" s="8">
        <f t="shared" si="0"/>
        <v>1.2240616896407275</v>
      </c>
      <c r="F8" s="7">
        <f t="shared" si="1"/>
        <v>3209.88171136654</v>
      </c>
    </row>
    <row r="9" spans="1:6" x14ac:dyDescent="0.3">
      <c r="A9" t="s">
        <v>26</v>
      </c>
      <c r="B9" s="16">
        <f>SUMIFS(Digital_Marketing!$G$2:$G$309,Digital_Marketing!$W$2:$W$309,A9,Digital_Marketing!$X$2:$X$309,TRUE)</f>
        <v>5760024.7200000016</v>
      </c>
      <c r="C9" s="16">
        <f>SUMIFS(Digital_Marketing!$K$2:$K$309,Digital_Marketing!$W$2:$W$309,A9,Digital_Marketing!$X$2:$X$309,TRUE)</f>
        <v>4133766</v>
      </c>
      <c r="D9">
        <f>SUMIFS(Digital_Marketing!$J$2:$J$309,Digital_Marketing!$W$2:$W$309,A9,Digital_Marketing!$X$2:$X$309,TRUE)</f>
        <v>1001</v>
      </c>
      <c r="E9" s="8">
        <f t="shared" si="0"/>
        <v>0.71766462835596978</v>
      </c>
      <c r="F9" s="7">
        <f t="shared" si="1"/>
        <v>5754.2704495504513</v>
      </c>
    </row>
    <row r="10" spans="1:6" x14ac:dyDescent="0.3">
      <c r="A10" t="s">
        <v>40</v>
      </c>
      <c r="B10" s="16">
        <f>SUMIFS(Digital_Marketing!$G$2:$G$309,Digital_Marketing!$W$2:$W$309,A10,Digital_Marketing!$X$2:$X$309,TRUE)</f>
        <v>2260401.3100000005</v>
      </c>
      <c r="C10" s="16">
        <f>SUMIFS(Digital_Marketing!$K$2:$K$309,Digital_Marketing!$W$2:$W$309,A10,Digital_Marketing!$X$2:$X$309,TRUE)</f>
        <v>1499318</v>
      </c>
      <c r="D10">
        <f>SUMIFS(Digital_Marketing!$J$2:$J$309,Digital_Marketing!$W$2:$W$309,A10,Digital_Marketing!$X$2:$X$309,TRUE)</f>
        <v>547</v>
      </c>
      <c r="E10" s="8">
        <f t="shared" si="0"/>
        <v>0.66329726202467987</v>
      </c>
      <c r="F10" s="7">
        <f t="shared" si="1"/>
        <v>4132.3607129798911</v>
      </c>
    </row>
    <row r="11" spans="1:6" x14ac:dyDescent="0.3">
      <c r="A11" t="s">
        <v>28</v>
      </c>
      <c r="B11" s="16">
        <f>SUMIFS(Digital_Marketing!$G$2:$G$309,Digital_Marketing!$W$2:$W$309,A11,Digital_Marketing!$X$2:$X$309,TRUE)</f>
        <v>2641939.2399999998</v>
      </c>
      <c r="C11" s="16">
        <f>SUMIFS(Digital_Marketing!$K$2:$K$309,Digital_Marketing!$W$2:$W$309,A11,Digital_Marketing!$X$2:$X$309,TRUE)</f>
        <v>300233</v>
      </c>
      <c r="D11">
        <f>SUMIFS(Digital_Marketing!$J$2:$J$309,Digital_Marketing!$W$2:$W$309,A11,Digital_Marketing!$X$2:$X$309,TRUE)</f>
        <v>294</v>
      </c>
      <c r="E11" s="8">
        <f t="shared" si="0"/>
        <v>0.11364114490384723</v>
      </c>
      <c r="F11" s="7">
        <f t="shared" si="1"/>
        <v>8986.1878911564618</v>
      </c>
    </row>
    <row r="13" spans="1:6" x14ac:dyDescent="0.3">
      <c r="A13" s="3" t="s">
        <v>50</v>
      </c>
      <c r="B13" s="19">
        <f>SUMIFS(Digital_Marketing!$G$2:$G$309,Digital_Marketing!$X$2:$X$309,TRUE)</f>
        <v>30590879.820000008</v>
      </c>
      <c r="C13" s="19">
        <f>SUMIFS(Digital_Marketing!$K$2:$K$309,Digital_Marketing!$X$2:$X$309,TRUE)</f>
        <v>42889366</v>
      </c>
      <c r="D13" s="3"/>
      <c r="E13" s="10">
        <f>C13/B13</f>
        <v>1.4020311364813824</v>
      </c>
      <c r="F13" s="3"/>
    </row>
    <row r="19" spans="1:4" ht="15.6" x14ac:dyDescent="0.3">
      <c r="A19" s="2" t="s">
        <v>63</v>
      </c>
    </row>
    <row r="21" spans="1:4" x14ac:dyDescent="0.3">
      <c r="A21" s="1" t="s">
        <v>18</v>
      </c>
      <c r="B21" s="18" t="s">
        <v>77</v>
      </c>
    </row>
    <row r="22" spans="1:4" x14ac:dyDescent="0.3">
      <c r="A22" t="s">
        <v>23</v>
      </c>
      <c r="B22" s="16">
        <f>AVERAGEIFS(Digital_Marketing!$K$2:$K$309,Digital_Marketing!$U$2:$U$309,A22,Digital_Marketing!$X$2:$X$309,TRUE)</f>
        <v>141914.24090909091</v>
      </c>
    </row>
    <row r="23" spans="1:4" x14ac:dyDescent="0.3">
      <c r="A23" t="s">
        <v>34</v>
      </c>
      <c r="B23" s="16">
        <f>AVERAGEIFS(Digital_Marketing!$K$2:$K$309,Digital_Marketing!$U$2:$U$309,A23,Digital_Marketing!$X$2:$X$309,TRUE)</f>
        <v>132593.55681818182</v>
      </c>
    </row>
    <row r="29" spans="1:4" ht="15.6" x14ac:dyDescent="0.3">
      <c r="A29" s="2" t="s">
        <v>68</v>
      </c>
      <c r="B29" s="17"/>
      <c r="C29" s="17"/>
    </row>
    <row r="30" spans="1:4" x14ac:dyDescent="0.3">
      <c r="B30" s="17"/>
      <c r="C30" s="17"/>
    </row>
    <row r="31" spans="1:4" x14ac:dyDescent="0.3">
      <c r="B31" s="17"/>
      <c r="C31" s="17"/>
    </row>
    <row r="32" spans="1:4" x14ac:dyDescent="0.3">
      <c r="A32" s="1" t="s">
        <v>64</v>
      </c>
      <c r="B32" s="18" t="s">
        <v>47</v>
      </c>
      <c r="C32" s="18" t="s">
        <v>48</v>
      </c>
      <c r="D32" s="1" t="s">
        <v>49</v>
      </c>
    </row>
    <row r="33" spans="1:4" x14ac:dyDescent="0.3">
      <c r="A33" t="s">
        <v>42</v>
      </c>
      <c r="B33" s="16">
        <f>SUMIFS(Digital_Marketing!$G$2:$G$309,Digital_Marketing!$V$2:$V$309,A33,Digital_Marketing!$X$2:$X$309,TRUE)</f>
        <v>4057936.51</v>
      </c>
      <c r="C33" s="16">
        <f>SUMIFS(Digital_Marketing!$K$2:$K$309,Digital_Marketing!$V$2:$V$309,A33,Digital_Marketing!$X$2:$X$309,TRUE)</f>
        <v>15311433</v>
      </c>
      <c r="D33" s="8">
        <f>IFERROR(C33/B33,"")</f>
        <v>3.7732066438861067</v>
      </c>
    </row>
    <row r="34" spans="1:4" x14ac:dyDescent="0.3">
      <c r="A34" t="s">
        <v>36</v>
      </c>
      <c r="B34" s="16">
        <f>SUMIFS(Digital_Marketing!$G$2:$G$309,Digital_Marketing!$V$2:$V$309,A34,Digital_Marketing!$X$2:$X$309,TRUE)</f>
        <v>7878798.5700000003</v>
      </c>
      <c r="C34" s="16">
        <f>SUMIFS(Digital_Marketing!$K$2:$K$309,Digital_Marketing!$V$2:$V$309,A34,Digital_Marketing!$X$2:$X$309,TRUE)</f>
        <v>11023038</v>
      </c>
      <c r="D34" s="8">
        <f>IFERROR(C34/B34,"")</f>
        <v>1.3990760015076764</v>
      </c>
    </row>
    <row r="35" spans="1:4" x14ac:dyDescent="0.3">
      <c r="A35" t="s">
        <v>45</v>
      </c>
      <c r="B35" s="16">
        <f>SUMIFS(Digital_Marketing!$G$2:$G$309,Digital_Marketing!$V$2:$V$309,A35,Digital_Marketing!$X$2:$X$309,TRUE)</f>
        <v>5026674.7600000016</v>
      </c>
      <c r="C35" s="16">
        <f>SUMIFS(Digital_Marketing!$K$2:$K$309,Digital_Marketing!$V$2:$V$309,A35,Digital_Marketing!$X$2:$X$309,TRUE)</f>
        <v>6152960</v>
      </c>
      <c r="D35" s="8">
        <f>IFERROR(C35/B35,"")</f>
        <v>1.2240616896407275</v>
      </c>
    </row>
    <row r="36" spans="1:4" x14ac:dyDescent="0.3">
      <c r="A36" t="s">
        <v>38</v>
      </c>
      <c r="B36" s="16">
        <f>SUMIFS(Digital_Marketing!$G$2:$G$309,Digital_Marketing!$V$2:$V$309,A36,Digital_Marketing!$X$2:$X$309,TRUE)</f>
        <v>3460400.0700000012</v>
      </c>
      <c r="C36" s="16">
        <f>SUMIFS(Digital_Marketing!$K$2:$K$309,Digital_Marketing!$V$2:$V$309,A36,Digital_Marketing!$X$2:$X$309,TRUE)</f>
        <v>3705065</v>
      </c>
      <c r="D36" s="8">
        <f>IFERROR(C36/B36,"")</f>
        <v>1.0707042321843436</v>
      </c>
    </row>
    <row r="37" spans="1:4" x14ac:dyDescent="0.3">
      <c r="A37" t="s">
        <v>24</v>
      </c>
      <c r="B37" s="16">
        <f>SUMIFS(Digital_Marketing!$G$2:$G$309,Digital_Marketing!$V$2:$V$309,A37,Digital_Marketing!$X$2:$X$309,TRUE)</f>
        <v>10167069.910000002</v>
      </c>
      <c r="C37" s="16">
        <f>SUMIFS(Digital_Marketing!$K$2:$K$309,Digital_Marketing!$V$2:$V$309,A37,Digital_Marketing!$X$2:$X$309,TRUE)</f>
        <v>6696870</v>
      </c>
      <c r="D37" s="8">
        <f>IFERROR(C37/B37,"")</f>
        <v>0.65868239908660164</v>
      </c>
    </row>
    <row r="44" spans="1:4" ht="15.6" x14ac:dyDescent="0.3">
      <c r="A44" s="2" t="s">
        <v>69</v>
      </c>
      <c r="B44" s="17"/>
      <c r="C44" s="17"/>
    </row>
    <row r="45" spans="1:4" x14ac:dyDescent="0.3">
      <c r="B45" s="17"/>
      <c r="C45" s="17"/>
    </row>
    <row r="46" spans="1:4" x14ac:dyDescent="0.3">
      <c r="A46" s="1" t="s">
        <v>65</v>
      </c>
      <c r="B46" s="20" t="s">
        <v>47</v>
      </c>
      <c r="C46" s="20" t="s">
        <v>48</v>
      </c>
      <c r="D46" s="1" t="s">
        <v>49</v>
      </c>
    </row>
    <row r="47" spans="1:4" x14ac:dyDescent="0.3">
      <c r="A47" t="s">
        <v>41</v>
      </c>
      <c r="B47" s="17">
        <f>SUMIFS(Digital_Marketing!$G$2:$G$309,Digital_Marketing!$D$2:$D$309,A47,Digital_Marketing!$X$2:$X$309,TRUE)</f>
        <v>8305304.0800000001</v>
      </c>
      <c r="C47" s="17">
        <f>SUMIFS(Digital_Marketing!$K$2:$K$309,Digital_Marketing!$D$2:$D$309,A47,Digital_Marketing!$X$2:$X$309,TRUE)</f>
        <v>21119887</v>
      </c>
      <c r="D47" s="8">
        <f>IFERROR(C47/B47,"")</f>
        <v>2.5429396439389609</v>
      </c>
    </row>
    <row r="48" spans="1:4" x14ac:dyDescent="0.3">
      <c r="A48" t="s">
        <v>22</v>
      </c>
      <c r="B48" s="17">
        <f>SUMIFS(Digital_Marketing!$G$2:$G$309,Digital_Marketing!$D$2:$D$309,A48,Digital_Marketing!$X$2:$X$309,TRUE)</f>
        <v>13798500.910000006</v>
      </c>
      <c r="C48" s="17">
        <f>SUMIFS(Digital_Marketing!$K$2:$K$309,Digital_Marketing!$D$2:$D$309,A48,Digital_Marketing!$X$2:$X$309,TRUE)</f>
        <v>11911454</v>
      </c>
      <c r="D48" s="8">
        <f>IFERROR(C48/B48,"")</f>
        <v>0.86324261437469407</v>
      </c>
    </row>
    <row r="49" spans="1:4" x14ac:dyDescent="0.3">
      <c r="A49" t="s">
        <v>44</v>
      </c>
      <c r="B49" s="17">
        <f>SUMIFS(Digital_Marketing!$G$2:$G$309,Digital_Marketing!$D$2:$D$309,A49,Digital_Marketing!$X$2:$X$309,TRUE)</f>
        <v>5026674.7600000016</v>
      </c>
      <c r="C49" s="17">
        <f>SUMIFS(Digital_Marketing!$K$2:$K$309,Digital_Marketing!$D$2:$D$309,A49,Digital_Marketing!$X$2:$X$309,TRUE)</f>
        <v>6152960</v>
      </c>
      <c r="D49" s="8">
        <f>IFERROR(C49/B49,"")</f>
        <v>1.2240616896407275</v>
      </c>
    </row>
    <row r="50" spans="1:4" x14ac:dyDescent="0.3">
      <c r="A50" t="s">
        <v>37</v>
      </c>
      <c r="B50" s="17">
        <f>SUMIFS(Digital_Marketing!$G$2:$G$309,Digital_Marketing!$D$2:$D$309,A50,Digital_Marketing!$X$2:$X$309,TRUE)</f>
        <v>3460400.0700000012</v>
      </c>
      <c r="C50" s="17">
        <f>SUMIFS(Digital_Marketing!$K$2:$K$309,Digital_Marketing!$D$2:$D$309,A50,Digital_Marketing!$X$2:$X$309,TRUE)</f>
        <v>3705065</v>
      </c>
      <c r="D50" s="8">
        <f>IFERROR(C50/B50,"")</f>
        <v>1.0707042321843436</v>
      </c>
    </row>
  </sheetData>
  <sortState xmlns:xlrd2="http://schemas.microsoft.com/office/spreadsheetml/2017/richdata2" ref="A47:D50">
    <sortCondition descending="1" ref="C47:C50"/>
  </sortState>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5AD9A-FBF3-431E-A8C0-9191010363AA}">
  <dimension ref="A3:F71"/>
  <sheetViews>
    <sheetView topLeftCell="A55" workbookViewId="0">
      <selection activeCell="F65" sqref="F65"/>
    </sheetView>
  </sheetViews>
  <sheetFormatPr defaultRowHeight="14.4" x14ac:dyDescent="0.3"/>
  <cols>
    <col min="1" max="1" width="12.33203125" bestFit="1" customWidth="1"/>
    <col min="2" max="2" width="15.77734375" style="17" bestFit="1" customWidth="1"/>
    <col min="3" max="3" width="17.6640625" bestFit="1" customWidth="1"/>
    <col min="6" max="6" width="15.21875" bestFit="1" customWidth="1"/>
  </cols>
  <sheetData>
    <row r="3" spans="1:2" x14ac:dyDescent="0.3">
      <c r="A3" s="12" t="s">
        <v>70</v>
      </c>
      <c r="B3" s="17" t="s">
        <v>72</v>
      </c>
    </row>
    <row r="4" spans="1:2" x14ac:dyDescent="0.3">
      <c r="A4" s="13" t="s">
        <v>41</v>
      </c>
      <c r="B4" s="17">
        <v>21119887</v>
      </c>
    </row>
    <row r="5" spans="1:2" x14ac:dyDescent="0.3">
      <c r="A5" s="13" t="s">
        <v>22</v>
      </c>
      <c r="B5" s="17">
        <v>11911454</v>
      </c>
    </row>
    <row r="6" spans="1:2" x14ac:dyDescent="0.3">
      <c r="A6" s="13" t="s">
        <v>44</v>
      </c>
      <c r="B6" s="17">
        <v>6152960</v>
      </c>
    </row>
    <row r="7" spans="1:2" x14ac:dyDescent="0.3">
      <c r="A7" s="13" t="s">
        <v>37</v>
      </c>
      <c r="B7" s="17">
        <v>3705065</v>
      </c>
    </row>
    <row r="8" spans="1:2" x14ac:dyDescent="0.3">
      <c r="A8" s="13" t="s">
        <v>71</v>
      </c>
      <c r="B8" s="17">
        <v>42889366</v>
      </c>
    </row>
    <row r="13" spans="1:2" x14ac:dyDescent="0.3">
      <c r="A13" s="12" t="s">
        <v>70</v>
      </c>
      <c r="B13" s="17" t="s">
        <v>72</v>
      </c>
    </row>
    <row r="14" spans="1:2" x14ac:dyDescent="0.3">
      <c r="A14" s="13" t="s">
        <v>32</v>
      </c>
      <c r="B14" s="17">
        <v>9574175</v>
      </c>
    </row>
    <row r="15" spans="1:2" x14ac:dyDescent="0.3">
      <c r="A15" s="13" t="s">
        <v>33</v>
      </c>
      <c r="B15" s="17">
        <v>8523402</v>
      </c>
    </row>
    <row r="16" spans="1:2" x14ac:dyDescent="0.3">
      <c r="A16" s="13" t="s">
        <v>30</v>
      </c>
      <c r="B16" s="17">
        <v>6973795</v>
      </c>
    </row>
    <row r="17" spans="1:2" x14ac:dyDescent="0.3">
      <c r="A17" s="13" t="s">
        <v>31</v>
      </c>
      <c r="B17" s="17">
        <v>5955971</v>
      </c>
    </row>
    <row r="18" spans="1:2" x14ac:dyDescent="0.3">
      <c r="A18" s="13" t="s">
        <v>29</v>
      </c>
      <c r="B18" s="17">
        <v>4537535</v>
      </c>
    </row>
    <row r="19" spans="1:2" x14ac:dyDescent="0.3">
      <c r="A19" s="13" t="s">
        <v>21</v>
      </c>
      <c r="B19" s="17">
        <v>4179657</v>
      </c>
    </row>
    <row r="20" spans="1:2" x14ac:dyDescent="0.3">
      <c r="A20" s="13" t="s">
        <v>35</v>
      </c>
      <c r="B20" s="17">
        <v>3144831</v>
      </c>
    </row>
    <row r="21" spans="1:2" x14ac:dyDescent="0.3">
      <c r="A21" s="13" t="s">
        <v>71</v>
      </c>
      <c r="B21" s="17">
        <v>42889366</v>
      </c>
    </row>
    <row r="27" spans="1:2" x14ac:dyDescent="0.3">
      <c r="A27" s="12" t="s">
        <v>70</v>
      </c>
      <c r="B27" s="17" t="s">
        <v>72</v>
      </c>
    </row>
    <row r="28" spans="1:2" x14ac:dyDescent="0.3">
      <c r="A28" s="13" t="s">
        <v>42</v>
      </c>
      <c r="B28" s="17">
        <v>15311433</v>
      </c>
    </row>
    <row r="29" spans="1:2" x14ac:dyDescent="0.3">
      <c r="A29" s="13" t="s">
        <v>36</v>
      </c>
      <c r="B29" s="17">
        <v>11023038</v>
      </c>
    </row>
    <row r="30" spans="1:2" x14ac:dyDescent="0.3">
      <c r="A30" s="13" t="s">
        <v>24</v>
      </c>
      <c r="B30" s="17">
        <v>6696870</v>
      </c>
    </row>
    <row r="31" spans="1:2" x14ac:dyDescent="0.3">
      <c r="A31" s="13" t="s">
        <v>45</v>
      </c>
      <c r="B31" s="17">
        <v>6152960</v>
      </c>
    </row>
    <row r="32" spans="1:2" x14ac:dyDescent="0.3">
      <c r="A32" s="13" t="s">
        <v>38</v>
      </c>
      <c r="B32" s="17">
        <v>3705065</v>
      </c>
    </row>
    <row r="33" spans="1:2" x14ac:dyDescent="0.3">
      <c r="A33" s="13" t="s">
        <v>71</v>
      </c>
      <c r="B33" s="17">
        <v>42889366</v>
      </c>
    </row>
    <row r="40" spans="1:2" x14ac:dyDescent="0.3">
      <c r="A40" s="12" t="s">
        <v>70</v>
      </c>
      <c r="B40" s="17" t="s">
        <v>72</v>
      </c>
    </row>
    <row r="41" spans="1:2" x14ac:dyDescent="0.3">
      <c r="A41" s="13" t="s">
        <v>43</v>
      </c>
      <c r="B41" s="17">
        <v>21119887</v>
      </c>
    </row>
    <row r="42" spans="1:2" x14ac:dyDescent="0.3">
      <c r="A42" s="13" t="s">
        <v>25</v>
      </c>
      <c r="B42" s="17">
        <v>6940536</v>
      </c>
    </row>
    <row r="43" spans="1:2" x14ac:dyDescent="0.3">
      <c r="A43" s="13" t="s">
        <v>46</v>
      </c>
      <c r="B43" s="17">
        <v>6152960</v>
      </c>
    </row>
    <row r="44" spans="1:2" x14ac:dyDescent="0.3">
      <c r="A44" s="13" t="s">
        <v>26</v>
      </c>
      <c r="B44" s="17">
        <v>4133766</v>
      </c>
    </row>
    <row r="45" spans="1:2" x14ac:dyDescent="0.3">
      <c r="A45" s="13" t="s">
        <v>39</v>
      </c>
      <c r="B45" s="17">
        <v>2205747</v>
      </c>
    </row>
    <row r="46" spans="1:2" x14ac:dyDescent="0.3">
      <c r="A46" s="13" t="s">
        <v>40</v>
      </c>
      <c r="B46" s="17">
        <v>1499318</v>
      </c>
    </row>
    <row r="47" spans="1:2" x14ac:dyDescent="0.3">
      <c r="A47" s="13" t="s">
        <v>27</v>
      </c>
      <c r="B47" s="17">
        <v>536919</v>
      </c>
    </row>
    <row r="48" spans="1:2" x14ac:dyDescent="0.3">
      <c r="A48" s="13" t="s">
        <v>28</v>
      </c>
      <c r="B48" s="17">
        <v>300233</v>
      </c>
    </row>
    <row r="49" spans="1:6" x14ac:dyDescent="0.3">
      <c r="A49" s="13" t="s">
        <v>71</v>
      </c>
      <c r="B49" s="17">
        <v>42889366</v>
      </c>
    </row>
    <row r="55" spans="1:6" x14ac:dyDescent="0.3">
      <c r="A55" s="12" t="s">
        <v>70</v>
      </c>
      <c r="B55" s="17" t="s">
        <v>72</v>
      </c>
    </row>
    <row r="56" spans="1:6" x14ac:dyDescent="0.3">
      <c r="A56" s="13" t="s">
        <v>23</v>
      </c>
      <c r="B56" s="17">
        <v>31221133</v>
      </c>
    </row>
    <row r="57" spans="1:6" x14ac:dyDescent="0.3">
      <c r="A57" s="13" t="s">
        <v>34</v>
      </c>
      <c r="B57" s="17">
        <v>11668233</v>
      </c>
    </row>
    <row r="58" spans="1:6" x14ac:dyDescent="0.3">
      <c r="A58" s="13" t="s">
        <v>71</v>
      </c>
      <c r="B58" s="17">
        <v>42889366</v>
      </c>
    </row>
    <row r="64" spans="1:6" x14ac:dyDescent="0.3">
      <c r="A64" t="s">
        <v>73</v>
      </c>
      <c r="C64" t="s">
        <v>75</v>
      </c>
      <c r="F64" t="s">
        <v>72</v>
      </c>
    </row>
    <row r="65" spans="1:6" x14ac:dyDescent="0.3">
      <c r="A65" s="8">
        <v>1.4020311364813824</v>
      </c>
      <c r="C65" s="17">
        <v>30590879.820000008</v>
      </c>
      <c r="F65" s="17">
        <v>42889366</v>
      </c>
    </row>
    <row r="67" spans="1:6" x14ac:dyDescent="0.3">
      <c r="A67" s="8"/>
    </row>
    <row r="70" spans="1:6" x14ac:dyDescent="0.3">
      <c r="A70" t="s">
        <v>74</v>
      </c>
      <c r="C70" t="s">
        <v>76</v>
      </c>
    </row>
    <row r="71" spans="1:6" x14ac:dyDescent="0.3">
      <c r="A71" s="15">
        <v>3803.4166132040291</v>
      </c>
      <c r="C71" s="6">
        <v>8043</v>
      </c>
    </row>
  </sheetData>
  <pageMargins left="0.7" right="0.7" top="0.75" bottom="0.75" header="0.3" footer="0.3"/>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8206D-B776-485D-9F08-9FCDD1074C8B}">
  <dimension ref="A1:W34"/>
  <sheetViews>
    <sheetView showGridLines="0" zoomScale="80" zoomScaleNormal="80" workbookViewId="0">
      <selection activeCell="X8" sqref="X8"/>
    </sheetView>
  </sheetViews>
  <sheetFormatPr defaultRowHeight="14.4" x14ac:dyDescent="0.3"/>
  <cols>
    <col min="14" max="14" width="11" bestFit="1" customWidth="1"/>
    <col min="16" max="16" width="11" bestFit="1" customWidth="1"/>
  </cols>
  <sheetData>
    <row r="1" spans="1:23" x14ac:dyDescent="0.3">
      <c r="A1" s="14"/>
      <c r="B1" s="14"/>
      <c r="C1" s="14"/>
      <c r="D1" s="14"/>
      <c r="E1" s="14"/>
      <c r="F1" s="14"/>
      <c r="G1" s="14"/>
      <c r="H1" s="14"/>
      <c r="I1" s="14"/>
      <c r="J1" s="14"/>
      <c r="K1" s="14"/>
      <c r="L1" s="14"/>
      <c r="M1" s="14"/>
      <c r="N1" s="14"/>
      <c r="O1" s="14"/>
      <c r="P1" s="14"/>
      <c r="Q1" s="14"/>
      <c r="R1" s="14"/>
      <c r="S1" s="14"/>
      <c r="T1" s="14"/>
      <c r="U1" s="14"/>
      <c r="V1" s="14"/>
      <c r="W1" s="14"/>
    </row>
    <row r="2" spans="1:23" x14ac:dyDescent="0.3">
      <c r="A2" s="14"/>
      <c r="B2" s="14"/>
      <c r="C2" s="14"/>
      <c r="D2" s="14"/>
      <c r="E2" s="14"/>
      <c r="F2" s="14"/>
      <c r="G2" s="14"/>
      <c r="H2" s="14"/>
      <c r="I2" s="14"/>
      <c r="J2" s="14"/>
      <c r="K2" s="14"/>
      <c r="L2" s="14"/>
      <c r="M2" s="14"/>
      <c r="N2" s="14"/>
      <c r="O2" s="14"/>
      <c r="P2" s="14"/>
      <c r="Q2" s="14"/>
      <c r="R2" s="14"/>
      <c r="S2" s="14"/>
      <c r="T2" s="14"/>
      <c r="U2" s="14"/>
      <c r="V2" s="14"/>
      <c r="W2" s="14"/>
    </row>
    <row r="3" spans="1:23" x14ac:dyDescent="0.3">
      <c r="A3" s="14"/>
      <c r="B3" s="14"/>
      <c r="C3" s="14"/>
      <c r="D3" s="14"/>
      <c r="E3" s="14"/>
      <c r="F3" s="14"/>
      <c r="G3" s="14"/>
      <c r="H3" s="14"/>
      <c r="I3" s="14"/>
      <c r="J3" s="14"/>
      <c r="K3" s="14"/>
      <c r="L3" s="14"/>
      <c r="M3" s="14"/>
      <c r="N3" s="14"/>
      <c r="O3" s="14"/>
      <c r="P3" s="14"/>
      <c r="Q3" s="14"/>
      <c r="R3" s="14"/>
      <c r="S3" s="14"/>
      <c r="T3" s="14"/>
      <c r="U3" s="14"/>
      <c r="V3" s="14"/>
      <c r="W3" s="14"/>
    </row>
    <row r="4" spans="1:23" x14ac:dyDescent="0.3">
      <c r="A4" s="14"/>
      <c r="B4" s="14"/>
      <c r="C4" s="14"/>
      <c r="D4" s="14"/>
      <c r="E4" s="14"/>
      <c r="F4" s="14"/>
      <c r="G4" s="14"/>
      <c r="H4" s="14"/>
      <c r="I4" s="14"/>
      <c r="J4" s="14"/>
      <c r="K4" s="14"/>
      <c r="L4" s="14"/>
      <c r="M4" s="14"/>
      <c r="N4" s="14"/>
      <c r="O4" s="14"/>
      <c r="P4" s="14"/>
      <c r="Q4" s="14"/>
      <c r="R4" s="14"/>
      <c r="S4" s="14"/>
      <c r="T4" s="14"/>
      <c r="U4" s="14"/>
      <c r="V4" s="14"/>
      <c r="W4" s="14"/>
    </row>
    <row r="5" spans="1:23" x14ac:dyDescent="0.3">
      <c r="A5" s="14"/>
      <c r="B5" s="14"/>
      <c r="C5" s="14"/>
      <c r="D5" s="14"/>
      <c r="E5" s="14"/>
      <c r="F5" s="14"/>
      <c r="G5" s="14"/>
      <c r="H5" s="14"/>
      <c r="I5" s="14"/>
      <c r="J5" s="14"/>
      <c r="K5" s="14"/>
      <c r="L5" s="14"/>
      <c r="M5" s="14"/>
      <c r="N5" s="14"/>
      <c r="O5" s="14"/>
      <c r="P5" s="14"/>
      <c r="Q5" s="14"/>
      <c r="R5" s="14"/>
      <c r="S5" s="14"/>
      <c r="T5" s="14"/>
      <c r="U5" s="14"/>
      <c r="V5" s="14"/>
      <c r="W5" s="14"/>
    </row>
    <row r="6" spans="1:23" x14ac:dyDescent="0.3">
      <c r="A6" s="14"/>
      <c r="B6" s="14"/>
      <c r="C6" s="14"/>
      <c r="D6" s="14"/>
      <c r="E6" s="14"/>
      <c r="F6" s="14"/>
      <c r="G6" s="14"/>
      <c r="H6" s="14"/>
      <c r="I6" s="14"/>
      <c r="J6" s="14"/>
      <c r="K6" s="14"/>
      <c r="L6" s="14"/>
      <c r="M6" s="14"/>
      <c r="N6" s="14"/>
      <c r="O6" s="14"/>
      <c r="P6" s="14"/>
      <c r="Q6" s="14"/>
      <c r="R6" s="14"/>
      <c r="S6" s="14"/>
      <c r="T6" s="14"/>
      <c r="U6" s="14"/>
      <c r="V6" s="14"/>
      <c r="W6" s="14"/>
    </row>
    <row r="7" spans="1:23" x14ac:dyDescent="0.3">
      <c r="A7" s="14"/>
      <c r="B7" s="14"/>
      <c r="C7" s="14"/>
      <c r="D7" s="14"/>
      <c r="E7" s="14"/>
      <c r="F7" s="14"/>
      <c r="G7" s="14"/>
      <c r="H7" s="14"/>
      <c r="I7" s="14"/>
      <c r="J7" s="14"/>
      <c r="K7" s="14"/>
      <c r="L7" s="14"/>
      <c r="M7" s="14"/>
      <c r="N7" s="14"/>
      <c r="O7" s="14"/>
      <c r="P7" s="14"/>
      <c r="Q7" s="14"/>
      <c r="R7" s="14"/>
      <c r="S7" s="14"/>
      <c r="T7" s="14"/>
      <c r="U7" s="14"/>
      <c r="V7" s="14"/>
      <c r="W7" s="14"/>
    </row>
    <row r="8" spans="1:23" x14ac:dyDescent="0.3">
      <c r="A8" s="14"/>
      <c r="B8" s="14"/>
      <c r="C8" s="14"/>
      <c r="D8" s="14"/>
      <c r="E8" s="14"/>
      <c r="F8" s="14"/>
      <c r="G8" s="14"/>
      <c r="H8" s="14"/>
      <c r="I8" s="14"/>
      <c r="J8" s="14"/>
      <c r="K8" s="14"/>
      <c r="L8" s="14"/>
      <c r="M8" s="14"/>
      <c r="N8" s="14"/>
      <c r="O8" s="14"/>
      <c r="P8" s="14"/>
      <c r="Q8" s="14"/>
      <c r="R8" s="14"/>
      <c r="S8" s="14"/>
      <c r="T8" s="14"/>
      <c r="U8" s="14"/>
      <c r="V8" s="14"/>
      <c r="W8" s="14"/>
    </row>
    <row r="9" spans="1:23" x14ac:dyDescent="0.3">
      <c r="A9" s="14"/>
      <c r="B9" s="14"/>
      <c r="C9" s="14"/>
      <c r="D9" s="14"/>
      <c r="E9" s="14"/>
      <c r="F9" s="14"/>
      <c r="G9" s="14"/>
      <c r="H9" s="14"/>
      <c r="I9" s="14"/>
      <c r="J9" s="14"/>
      <c r="K9" s="14"/>
      <c r="L9" s="14"/>
      <c r="M9" s="14"/>
      <c r="N9" s="14"/>
      <c r="O9" s="14"/>
      <c r="P9" s="14"/>
      <c r="Q9" s="14"/>
      <c r="R9" s="14"/>
      <c r="S9" s="14"/>
      <c r="T9" s="14"/>
      <c r="U9" s="14"/>
      <c r="V9" s="14"/>
      <c r="W9" s="14"/>
    </row>
    <row r="10" spans="1:23" x14ac:dyDescent="0.3">
      <c r="A10" s="14"/>
      <c r="B10" s="14"/>
      <c r="C10" s="14"/>
      <c r="D10" s="14"/>
      <c r="E10" s="14"/>
      <c r="F10" s="14"/>
      <c r="G10" s="14"/>
      <c r="H10" s="14"/>
      <c r="I10" s="14"/>
      <c r="J10" s="14"/>
      <c r="K10" s="14"/>
      <c r="L10" s="14"/>
      <c r="M10" s="14"/>
      <c r="N10" s="14"/>
      <c r="O10" s="14"/>
      <c r="P10" s="14"/>
      <c r="Q10" s="14"/>
      <c r="R10" s="14"/>
      <c r="S10" s="14"/>
      <c r="T10" s="14"/>
      <c r="U10" s="14"/>
      <c r="V10" s="14"/>
      <c r="W10" s="14"/>
    </row>
    <row r="11" spans="1:23" x14ac:dyDescent="0.3">
      <c r="A11" s="14"/>
      <c r="B11" s="14"/>
      <c r="C11" s="14"/>
      <c r="D11" s="14"/>
      <c r="E11" s="14"/>
      <c r="F11" s="14"/>
      <c r="G11" s="14"/>
      <c r="H11" s="14"/>
      <c r="I11" s="14"/>
      <c r="J11" s="14"/>
      <c r="K11" s="14"/>
      <c r="L11" s="14"/>
      <c r="M11" s="14"/>
      <c r="N11" s="14"/>
      <c r="O11" s="14"/>
      <c r="P11" s="14"/>
      <c r="Q11" s="14"/>
      <c r="R11" s="14"/>
      <c r="S11" s="14"/>
      <c r="T11" s="14"/>
      <c r="U11" s="14"/>
      <c r="V11" s="14"/>
      <c r="W11" s="14"/>
    </row>
    <row r="12" spans="1:23" x14ac:dyDescent="0.3">
      <c r="A12" s="14"/>
      <c r="B12" s="14"/>
      <c r="C12" s="14"/>
      <c r="D12" s="14"/>
      <c r="E12" s="14"/>
      <c r="F12" s="14"/>
      <c r="G12" s="14"/>
      <c r="H12" s="14"/>
      <c r="I12" s="14"/>
      <c r="J12" s="14"/>
      <c r="K12" s="14"/>
      <c r="L12" s="14"/>
      <c r="M12" s="14"/>
      <c r="N12" s="14"/>
      <c r="O12" s="14"/>
      <c r="P12" s="14"/>
      <c r="Q12" s="14"/>
      <c r="R12" s="14"/>
      <c r="S12" s="14"/>
      <c r="T12" s="14"/>
      <c r="U12" s="14"/>
      <c r="V12" s="14"/>
      <c r="W12" s="14"/>
    </row>
    <row r="13" spans="1:23" x14ac:dyDescent="0.3">
      <c r="A13" s="14"/>
      <c r="B13" s="14"/>
      <c r="C13" s="14"/>
      <c r="D13" s="14"/>
      <c r="E13" s="14"/>
      <c r="F13" s="14"/>
      <c r="G13" s="14"/>
      <c r="H13" s="14"/>
      <c r="I13" s="14"/>
      <c r="J13" s="14"/>
      <c r="K13" s="14"/>
      <c r="L13" s="14"/>
      <c r="M13" s="14"/>
      <c r="N13" s="14"/>
      <c r="O13" s="14"/>
      <c r="P13" s="14"/>
      <c r="Q13" s="14"/>
      <c r="R13" s="14"/>
      <c r="S13" s="14"/>
      <c r="T13" s="14"/>
      <c r="U13" s="14"/>
      <c r="V13" s="14"/>
      <c r="W13" s="14"/>
    </row>
    <row r="14" spans="1:23" x14ac:dyDescent="0.3">
      <c r="A14" s="14"/>
      <c r="B14" s="14"/>
      <c r="C14" s="14"/>
      <c r="D14" s="14"/>
      <c r="E14" s="14"/>
      <c r="F14" s="14"/>
      <c r="G14" s="14"/>
      <c r="H14" s="14"/>
      <c r="I14" s="14"/>
      <c r="J14" s="14"/>
      <c r="K14" s="14"/>
      <c r="L14" s="14"/>
      <c r="M14" s="14"/>
      <c r="N14" s="14"/>
      <c r="O14" s="14"/>
      <c r="P14" s="14"/>
      <c r="Q14" s="14"/>
      <c r="R14" s="14"/>
      <c r="S14" s="14"/>
      <c r="T14" s="14"/>
      <c r="U14" s="14"/>
      <c r="V14" s="14"/>
      <c r="W14" s="14"/>
    </row>
    <row r="15" spans="1:23" x14ac:dyDescent="0.3">
      <c r="A15" s="14"/>
      <c r="B15" s="14"/>
      <c r="C15" s="14"/>
      <c r="D15" s="14"/>
      <c r="E15" s="14"/>
      <c r="F15" s="14"/>
      <c r="G15" s="14"/>
      <c r="H15" s="14"/>
      <c r="I15" s="14"/>
      <c r="J15" s="14"/>
      <c r="K15" s="14"/>
      <c r="L15" s="14"/>
      <c r="M15" s="14"/>
      <c r="N15" s="14"/>
      <c r="O15" s="14"/>
      <c r="P15" s="14"/>
      <c r="Q15" s="14"/>
      <c r="R15" s="14"/>
      <c r="S15" s="14"/>
      <c r="T15" s="14"/>
      <c r="U15" s="14"/>
      <c r="V15" s="14"/>
      <c r="W15" s="14"/>
    </row>
    <row r="16" spans="1:23" x14ac:dyDescent="0.3">
      <c r="A16" s="14"/>
      <c r="B16" s="14"/>
      <c r="C16" s="14"/>
      <c r="D16" s="14"/>
      <c r="E16" s="14"/>
      <c r="F16" s="14"/>
      <c r="G16" s="14"/>
      <c r="H16" s="14"/>
      <c r="I16" s="14"/>
      <c r="J16" s="14"/>
      <c r="K16" s="14"/>
      <c r="L16" s="14"/>
      <c r="M16" s="14"/>
      <c r="N16" s="14"/>
      <c r="O16" s="14"/>
      <c r="P16" s="14"/>
      <c r="Q16" s="14"/>
      <c r="R16" s="14"/>
      <c r="S16" s="14"/>
      <c r="T16" s="14"/>
      <c r="U16" s="14"/>
      <c r="V16" s="14"/>
      <c r="W16" s="14"/>
    </row>
    <row r="17" spans="1:23" x14ac:dyDescent="0.3">
      <c r="A17" s="14"/>
      <c r="B17" s="14"/>
      <c r="C17" s="14"/>
      <c r="D17" s="14"/>
      <c r="E17" s="14"/>
      <c r="F17" s="14"/>
      <c r="G17" s="14"/>
      <c r="H17" s="14"/>
      <c r="I17" s="14"/>
      <c r="J17" s="14"/>
      <c r="K17" s="14"/>
      <c r="L17" s="14"/>
      <c r="M17" s="14"/>
      <c r="N17" s="14"/>
      <c r="O17" s="14"/>
      <c r="P17" s="14"/>
      <c r="Q17" s="14"/>
      <c r="R17" s="14"/>
      <c r="S17" s="14"/>
      <c r="T17" s="14"/>
      <c r="U17" s="14"/>
      <c r="V17" s="14"/>
      <c r="W17" s="14"/>
    </row>
    <row r="18" spans="1:23" x14ac:dyDescent="0.3">
      <c r="A18" s="14"/>
      <c r="B18" s="14"/>
      <c r="C18" s="14"/>
      <c r="D18" s="14"/>
      <c r="E18" s="14"/>
      <c r="F18" s="14"/>
      <c r="G18" s="14"/>
      <c r="H18" s="14"/>
      <c r="I18" s="14"/>
      <c r="J18" s="14"/>
      <c r="K18" s="14"/>
      <c r="L18" s="14"/>
      <c r="M18" s="14"/>
      <c r="N18" s="14"/>
      <c r="O18" s="14"/>
      <c r="P18" s="14"/>
      <c r="Q18" s="14"/>
      <c r="R18" s="14"/>
      <c r="S18" s="14"/>
      <c r="T18" s="14"/>
      <c r="U18" s="14"/>
      <c r="V18" s="14"/>
      <c r="W18" s="14"/>
    </row>
    <row r="19" spans="1:23" x14ac:dyDescent="0.3">
      <c r="A19" s="14"/>
      <c r="B19" s="14"/>
      <c r="C19" s="14"/>
      <c r="D19" s="14"/>
      <c r="E19" s="14"/>
      <c r="F19" s="14"/>
      <c r="G19" s="14"/>
      <c r="H19" s="14"/>
      <c r="I19" s="14"/>
      <c r="J19" s="14"/>
      <c r="K19" s="14"/>
      <c r="L19" s="14"/>
      <c r="M19" s="14"/>
      <c r="N19" s="14"/>
      <c r="O19" s="14"/>
      <c r="P19" s="14"/>
      <c r="Q19" s="14"/>
      <c r="R19" s="14"/>
      <c r="S19" s="14"/>
      <c r="T19" s="14"/>
      <c r="U19" s="14"/>
      <c r="V19" s="14"/>
      <c r="W19" s="14"/>
    </row>
    <row r="20" spans="1:23" x14ac:dyDescent="0.3">
      <c r="A20" s="14"/>
      <c r="B20" s="14"/>
      <c r="C20" s="14"/>
      <c r="D20" s="14"/>
      <c r="E20" s="14"/>
      <c r="F20" s="14"/>
      <c r="G20" s="14"/>
      <c r="H20" s="14"/>
      <c r="I20" s="14"/>
      <c r="J20" s="14"/>
      <c r="K20" s="14"/>
      <c r="L20" s="14"/>
      <c r="M20" s="14"/>
      <c r="N20" s="14"/>
      <c r="O20" s="14"/>
      <c r="P20" s="14"/>
      <c r="Q20" s="14"/>
      <c r="R20" s="14"/>
      <c r="S20" s="14"/>
      <c r="T20" s="14"/>
      <c r="U20" s="14"/>
      <c r="V20" s="14"/>
      <c r="W20" s="14"/>
    </row>
    <row r="21" spans="1:23" x14ac:dyDescent="0.3">
      <c r="A21" s="14"/>
      <c r="B21" s="14"/>
      <c r="C21" s="14"/>
      <c r="D21" s="14"/>
      <c r="E21" s="14"/>
      <c r="F21" s="14"/>
      <c r="G21" s="14"/>
      <c r="H21" s="14"/>
      <c r="I21" s="14"/>
      <c r="J21" s="14"/>
      <c r="K21" s="14"/>
      <c r="L21" s="14"/>
      <c r="M21" s="14"/>
      <c r="N21" s="14"/>
      <c r="O21" s="14"/>
      <c r="P21" s="14"/>
      <c r="Q21" s="14"/>
      <c r="R21" s="14"/>
      <c r="S21" s="14"/>
      <c r="T21" s="14"/>
      <c r="U21" s="14"/>
      <c r="V21" s="14"/>
      <c r="W21" s="14"/>
    </row>
    <row r="22" spans="1:23" x14ac:dyDescent="0.3">
      <c r="A22" s="14"/>
      <c r="B22" s="14"/>
      <c r="C22" s="14"/>
      <c r="D22" s="14"/>
      <c r="E22" s="14"/>
      <c r="F22" s="14"/>
      <c r="G22" s="14"/>
      <c r="H22" s="14"/>
      <c r="I22" s="14"/>
      <c r="J22" s="14"/>
      <c r="K22" s="14"/>
      <c r="L22" s="14"/>
      <c r="M22" s="14"/>
      <c r="N22" s="14"/>
      <c r="O22" s="14"/>
      <c r="P22" s="14"/>
      <c r="Q22" s="14"/>
      <c r="R22" s="14"/>
      <c r="S22" s="14"/>
      <c r="T22" s="14"/>
      <c r="U22" s="14"/>
      <c r="V22" s="14"/>
      <c r="W22" s="14"/>
    </row>
    <row r="23" spans="1:23" x14ac:dyDescent="0.3">
      <c r="A23" s="14"/>
      <c r="B23" s="14"/>
      <c r="C23" s="14"/>
      <c r="D23" s="14"/>
      <c r="E23" s="14"/>
      <c r="F23" s="14"/>
      <c r="G23" s="14"/>
      <c r="H23" s="14"/>
      <c r="I23" s="14"/>
      <c r="J23" s="14"/>
      <c r="K23" s="14"/>
      <c r="L23" s="14"/>
      <c r="M23" s="14"/>
      <c r="N23" s="14"/>
      <c r="O23" s="14"/>
      <c r="P23" s="14"/>
      <c r="Q23" s="14"/>
      <c r="R23" s="14"/>
      <c r="S23" s="14"/>
      <c r="T23" s="14"/>
      <c r="U23" s="14"/>
      <c r="V23" s="14"/>
      <c r="W23" s="14"/>
    </row>
    <row r="24" spans="1:23" x14ac:dyDescent="0.3">
      <c r="A24" s="14"/>
      <c r="B24" s="14"/>
      <c r="C24" s="14"/>
      <c r="D24" s="14"/>
      <c r="E24" s="14"/>
      <c r="F24" s="14"/>
      <c r="G24" s="14"/>
      <c r="H24" s="14"/>
      <c r="I24" s="14"/>
      <c r="J24" s="14"/>
      <c r="K24" s="14"/>
      <c r="L24" s="14"/>
      <c r="M24" s="14"/>
      <c r="N24" s="14"/>
      <c r="O24" s="14"/>
      <c r="P24" s="14"/>
      <c r="Q24" s="14"/>
      <c r="R24" s="14"/>
      <c r="S24" s="14"/>
      <c r="T24" s="14"/>
      <c r="U24" s="14"/>
      <c r="V24" s="14"/>
      <c r="W24" s="14"/>
    </row>
    <row r="25" spans="1:23" x14ac:dyDescent="0.3">
      <c r="A25" s="14"/>
      <c r="B25" s="14"/>
      <c r="C25" s="14"/>
      <c r="D25" s="14"/>
      <c r="E25" s="14"/>
      <c r="F25" s="14"/>
      <c r="G25" s="14"/>
      <c r="H25" s="14"/>
      <c r="I25" s="14"/>
      <c r="J25" s="14"/>
      <c r="K25" s="14"/>
      <c r="L25" s="14"/>
      <c r="M25" s="14"/>
      <c r="N25" s="14"/>
      <c r="O25" s="14"/>
      <c r="P25" s="14"/>
      <c r="Q25" s="14"/>
      <c r="R25" s="14"/>
      <c r="S25" s="14"/>
      <c r="T25" s="14"/>
      <c r="U25" s="14"/>
      <c r="V25" s="14"/>
      <c r="W25" s="14"/>
    </row>
    <row r="26" spans="1:23" x14ac:dyDescent="0.3">
      <c r="A26" s="14"/>
      <c r="B26" s="14"/>
      <c r="C26" s="14"/>
      <c r="D26" s="14"/>
      <c r="E26" s="14"/>
      <c r="F26" s="14"/>
      <c r="G26" s="14"/>
      <c r="H26" s="14"/>
      <c r="I26" s="14"/>
      <c r="J26" s="14"/>
      <c r="K26" s="14"/>
      <c r="L26" s="14"/>
      <c r="M26" s="14"/>
      <c r="N26" s="14"/>
      <c r="O26" s="14"/>
      <c r="P26" s="14"/>
      <c r="Q26" s="14"/>
      <c r="R26" s="14"/>
      <c r="S26" s="14"/>
      <c r="T26" s="14"/>
      <c r="U26" s="14"/>
      <c r="V26" s="14"/>
      <c r="W26" s="14"/>
    </row>
    <row r="27" spans="1:23" x14ac:dyDescent="0.3">
      <c r="A27" s="14"/>
      <c r="B27" s="14"/>
      <c r="C27" s="14"/>
      <c r="D27" s="14"/>
      <c r="E27" s="14"/>
      <c r="F27" s="14"/>
      <c r="G27" s="14"/>
      <c r="H27" s="14"/>
      <c r="I27" s="14"/>
      <c r="J27" s="14"/>
      <c r="K27" s="14"/>
      <c r="L27" s="14"/>
      <c r="M27" s="14"/>
      <c r="N27" s="14"/>
      <c r="O27" s="14"/>
      <c r="P27" s="14"/>
      <c r="Q27" s="14"/>
      <c r="R27" s="14"/>
      <c r="S27" s="14"/>
      <c r="T27" s="14"/>
      <c r="U27" s="14"/>
      <c r="V27" s="14"/>
      <c r="W27" s="14"/>
    </row>
    <row r="28" spans="1:23" x14ac:dyDescent="0.3">
      <c r="A28" s="14"/>
      <c r="B28" s="14"/>
      <c r="C28" s="14"/>
      <c r="D28" s="14"/>
      <c r="E28" s="14"/>
      <c r="F28" s="14"/>
      <c r="G28" s="14"/>
      <c r="H28" s="14"/>
      <c r="I28" s="14"/>
      <c r="J28" s="14"/>
      <c r="K28" s="14"/>
      <c r="L28" s="14"/>
      <c r="M28" s="14"/>
      <c r="N28" s="14"/>
      <c r="O28" s="14"/>
      <c r="P28" s="14"/>
      <c r="Q28" s="14"/>
      <c r="R28" s="14"/>
      <c r="S28" s="14"/>
      <c r="T28" s="14"/>
      <c r="U28" s="14"/>
      <c r="V28" s="14"/>
      <c r="W28" s="14"/>
    </row>
    <row r="29" spans="1:23" x14ac:dyDescent="0.3">
      <c r="A29" s="14"/>
      <c r="B29" s="14"/>
      <c r="C29" s="14"/>
      <c r="D29" s="14"/>
      <c r="E29" s="14"/>
      <c r="F29" s="14"/>
      <c r="G29" s="14"/>
      <c r="H29" s="14"/>
      <c r="I29" s="14"/>
      <c r="J29" s="14"/>
      <c r="K29" s="14"/>
      <c r="L29" s="14"/>
      <c r="M29" s="14"/>
      <c r="N29" s="14"/>
      <c r="O29" s="14"/>
      <c r="P29" s="14"/>
      <c r="Q29" s="14"/>
      <c r="R29" s="14"/>
      <c r="S29" s="14"/>
      <c r="T29" s="14"/>
      <c r="U29" s="14"/>
      <c r="V29" s="14"/>
      <c r="W29" s="14"/>
    </row>
    <row r="30" spans="1:23" x14ac:dyDescent="0.3">
      <c r="A30" s="14"/>
      <c r="B30" s="14"/>
      <c r="C30" s="14"/>
      <c r="D30" s="14"/>
      <c r="E30" s="14"/>
      <c r="F30" s="14"/>
      <c r="G30" s="14"/>
      <c r="H30" s="14"/>
      <c r="I30" s="14"/>
      <c r="J30" s="14"/>
      <c r="K30" s="14"/>
      <c r="L30" s="14"/>
      <c r="M30" s="14"/>
      <c r="N30" s="14"/>
      <c r="O30" s="14"/>
      <c r="P30" s="14"/>
      <c r="Q30" s="14"/>
      <c r="R30" s="14"/>
      <c r="S30" s="14"/>
      <c r="T30" s="14"/>
      <c r="U30" s="14"/>
      <c r="V30" s="14"/>
      <c r="W30" s="14"/>
    </row>
    <row r="31" spans="1:23" x14ac:dyDescent="0.3">
      <c r="A31" s="14"/>
      <c r="B31" s="14"/>
      <c r="C31" s="14"/>
      <c r="D31" s="14"/>
      <c r="E31" s="14"/>
      <c r="F31" s="14"/>
      <c r="G31" s="14"/>
      <c r="H31" s="14"/>
      <c r="I31" s="14"/>
      <c r="J31" s="14"/>
      <c r="K31" s="14"/>
      <c r="L31" s="14"/>
      <c r="M31" s="14"/>
      <c r="N31" s="14"/>
      <c r="O31" s="14"/>
      <c r="P31" s="14"/>
      <c r="Q31" s="14"/>
      <c r="R31" s="14"/>
      <c r="S31" s="14"/>
      <c r="T31" s="14"/>
      <c r="U31" s="14"/>
      <c r="V31" s="14"/>
      <c r="W31" s="14"/>
    </row>
    <row r="32" spans="1:23" x14ac:dyDescent="0.3">
      <c r="A32" s="14"/>
      <c r="B32" s="14"/>
      <c r="C32" s="14"/>
      <c r="D32" s="14"/>
      <c r="E32" s="14"/>
      <c r="F32" s="14"/>
      <c r="G32" s="14"/>
      <c r="H32" s="14"/>
      <c r="I32" s="14"/>
      <c r="J32" s="14"/>
      <c r="K32" s="14"/>
      <c r="L32" s="14"/>
      <c r="M32" s="14"/>
      <c r="N32" s="14"/>
      <c r="O32" s="14"/>
      <c r="P32" s="14"/>
      <c r="Q32" s="14"/>
      <c r="R32" s="14"/>
      <c r="S32" s="14"/>
      <c r="T32" s="14"/>
      <c r="U32" s="14"/>
      <c r="V32" s="14"/>
      <c r="W32" s="14"/>
    </row>
    <row r="33" spans="1:23" x14ac:dyDescent="0.3">
      <c r="A33" s="14"/>
      <c r="B33" s="14"/>
      <c r="C33" s="14"/>
      <c r="D33" s="14"/>
      <c r="E33" s="14"/>
      <c r="F33" s="14"/>
      <c r="G33" s="14"/>
      <c r="H33" s="14"/>
      <c r="I33" s="14"/>
      <c r="J33" s="14"/>
      <c r="K33" s="14"/>
      <c r="L33" s="14"/>
      <c r="M33" s="14"/>
      <c r="N33" s="14"/>
      <c r="O33" s="14"/>
      <c r="P33" s="14"/>
      <c r="Q33" s="14"/>
      <c r="R33" s="14"/>
      <c r="S33" s="14"/>
      <c r="T33" s="14"/>
      <c r="U33" s="14"/>
      <c r="V33" s="14"/>
      <c r="W33" s="14"/>
    </row>
    <row r="34" spans="1:23" x14ac:dyDescent="0.3">
      <c r="A34" s="14"/>
      <c r="B34" s="14"/>
      <c r="C34" s="14"/>
      <c r="D34" s="14"/>
      <c r="E34" s="14"/>
      <c r="F34" s="14"/>
      <c r="G34" s="14"/>
      <c r="H34" s="14"/>
      <c r="I34" s="14"/>
      <c r="J34" s="14"/>
      <c r="K34" s="14"/>
      <c r="L34" s="14"/>
      <c r="M34" s="14"/>
      <c r="N34" s="14"/>
      <c r="O34" s="14"/>
      <c r="P34" s="14"/>
      <c r="Q34" s="14"/>
      <c r="R34" s="14"/>
      <c r="S34" s="14"/>
      <c r="T34" s="14"/>
      <c r="U34" s="14"/>
      <c r="V34" s="14"/>
      <c r="W34"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tabSelected="1" workbookViewId="0">
      <selection activeCell="A17" sqref="A17"/>
    </sheetView>
  </sheetViews>
  <sheetFormatPr defaultRowHeight="14.4" x14ac:dyDescent="0.3"/>
  <cols>
    <col min="1" max="1" width="53" customWidth="1"/>
    <col min="2" max="2" width="45" style="16" customWidth="1"/>
  </cols>
  <sheetData>
    <row r="1" spans="1:2" ht="15.6" x14ac:dyDescent="0.3">
      <c r="A1" s="2" t="s">
        <v>51</v>
      </c>
    </row>
    <row r="3" spans="1:2" x14ac:dyDescent="0.3">
      <c r="A3" s="4"/>
    </row>
    <row r="5" spans="1:2" x14ac:dyDescent="0.3">
      <c r="A5" t="s">
        <v>52</v>
      </c>
      <c r="B5" s="21" t="s">
        <v>26</v>
      </c>
    </row>
    <row r="6" spans="1:2" x14ac:dyDescent="0.3">
      <c r="A6" t="s">
        <v>53</v>
      </c>
      <c r="B6" s="21" t="s">
        <v>43</v>
      </c>
    </row>
    <row r="7" spans="1:2" x14ac:dyDescent="0.3">
      <c r="A7" t="s">
        <v>54</v>
      </c>
      <c r="B7" s="21">
        <v>0.3</v>
      </c>
    </row>
    <row r="9" spans="1:2" x14ac:dyDescent="0.3">
      <c r="A9" s="5" t="s">
        <v>55</v>
      </c>
      <c r="B9" s="16">
        <f>VLOOKUP($B$5,Insights!$A$4:$F$11,2,FALSE)</f>
        <v>5760024.7200000016</v>
      </c>
    </row>
    <row r="10" spans="1:2" x14ac:dyDescent="0.3">
      <c r="A10" t="s">
        <v>56</v>
      </c>
      <c r="B10" s="16">
        <f>VLOOKUP($B$5,Insights!$A$4:$F$11,5,FALSE)</f>
        <v>0.71766462835596978</v>
      </c>
    </row>
    <row r="11" spans="1:2" x14ac:dyDescent="0.3">
      <c r="A11" t="s">
        <v>57</v>
      </c>
      <c r="B11" s="16">
        <f>VLOOKUP($B$6,Insights!$A$4:$F$11,2,FALSE)</f>
        <v>8305304.0800000001</v>
      </c>
    </row>
    <row r="12" spans="1:2" x14ac:dyDescent="0.3">
      <c r="A12" t="s">
        <v>58</v>
      </c>
      <c r="B12" s="16">
        <f>VLOOKUP($B$6,Insights!$A$4:$F$11,5,FALSE)</f>
        <v>2.5429396439389609</v>
      </c>
    </row>
    <row r="13" spans="1:2" x14ac:dyDescent="0.3">
      <c r="A13" t="s">
        <v>59</v>
      </c>
      <c r="B13" s="16">
        <f>B9*B7</f>
        <v>1728007.4160000004</v>
      </c>
    </row>
    <row r="14" spans="1:2" x14ac:dyDescent="0.3">
      <c r="A14" t="s">
        <v>60</v>
      </c>
      <c r="B14" s="16">
        <f>B13*B10</f>
        <v>1240129.8</v>
      </c>
    </row>
    <row r="15" spans="1:2" x14ac:dyDescent="0.3">
      <c r="A15" t="s">
        <v>61</v>
      </c>
      <c r="B15" s="16">
        <f>B13*B12</f>
        <v>4394218.5631669248</v>
      </c>
    </row>
    <row r="16" spans="1:2" x14ac:dyDescent="0.3">
      <c r="A16" t="s">
        <v>62</v>
      </c>
      <c r="B16" s="16">
        <f>B15-B14</f>
        <v>3154088.7631669249</v>
      </c>
    </row>
    <row r="17" spans="2:2" ht="15.6" x14ac:dyDescent="0.3">
      <c r="B17" s="2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Digital_Marketing</vt:lpstr>
      <vt:lpstr>Insights</vt:lpstr>
      <vt:lpstr>Pivot_Table</vt:lpstr>
      <vt:lpstr>Dash_Board</vt:lpstr>
      <vt:lpstr>WhatIf_Budget_Reallocation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Onyinyechi Nwogbe</cp:lastModifiedBy>
  <dcterms:created xsi:type="dcterms:W3CDTF">2026-09-14T08:14:51Z</dcterms:created>
  <dcterms:modified xsi:type="dcterms:W3CDTF">2026-09-25T05:58:38Z</dcterms:modified>
</cp:coreProperties>
</file>